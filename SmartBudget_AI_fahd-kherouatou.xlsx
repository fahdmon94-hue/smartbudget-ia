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8610AC3-622E-481A-B795-9E112CFE7226}" xr6:coauthVersionLast="47" xr6:coauthVersionMax="47" xr10:uidLastSave="{00000000-0000-0000-0000-000000000000}"/>
  <bookViews>
    <workbookView xWindow="-120" yWindow="-120" windowWidth="20730" windowHeight="11760" firstSheet="1" activeTab="5" xr2:uid="{00000000-000D-0000-FFFF-FFFF00000000}"/>
  </bookViews>
  <sheets>
    <sheet name="Mode_emploi" sheetId="1" r:id="rId1"/>
    <sheet name="Hypotheses" sheetId="2" r:id="rId2"/>
    <sheet name="Previsions_12M" sheetId="3" r:id="rId3"/>
    <sheet name="Economie_Unitaire" sheetId="4" r:id="rId4"/>
    <sheet name="Import_Dashboard" sheetId="5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" l="1"/>
  <c r="A15" i="5"/>
  <c r="D32" i="6" s="1"/>
  <c r="A14" i="5"/>
  <c r="G31" i="6" s="1"/>
  <c r="A13" i="5"/>
  <c r="D30" i="6" s="1"/>
  <c r="A12" i="5"/>
  <c r="G29" i="6" s="1"/>
  <c r="A11" i="5"/>
  <c r="D28" i="6" s="1"/>
  <c r="A10" i="5"/>
  <c r="G27" i="6" s="1"/>
  <c r="A9" i="5"/>
  <c r="D26" i="6" s="1"/>
  <c r="A8" i="5"/>
  <c r="G25" i="6" s="1"/>
  <c r="A7" i="5"/>
  <c r="D24" i="6" s="1"/>
  <c r="A6" i="5"/>
  <c r="G23" i="6" s="1"/>
  <c r="A5" i="5"/>
  <c r="D22" i="6" s="1"/>
  <c r="A4" i="5"/>
  <c r="G21" i="6" s="1"/>
  <c r="C8" i="4"/>
  <c r="C6" i="4"/>
  <c r="C5" i="4"/>
  <c r="C4" i="4"/>
  <c r="Q15" i="3"/>
  <c r="H15" i="3"/>
  <c r="F15" i="3"/>
  <c r="Q14" i="3"/>
  <c r="H14" i="3"/>
  <c r="F14" i="3"/>
  <c r="Q13" i="3"/>
  <c r="H13" i="3"/>
  <c r="F13" i="3"/>
  <c r="Q12" i="3"/>
  <c r="H12" i="3"/>
  <c r="F12" i="3"/>
  <c r="Q11" i="3"/>
  <c r="H11" i="3"/>
  <c r="F11" i="3"/>
  <c r="Q10" i="3"/>
  <c r="H10" i="3"/>
  <c r="F10" i="3"/>
  <c r="Q9" i="3"/>
  <c r="H9" i="3"/>
  <c r="F9" i="3"/>
  <c r="Q8" i="3"/>
  <c r="H8" i="3"/>
  <c r="F8" i="3"/>
  <c r="Q7" i="3"/>
  <c r="H7" i="3"/>
  <c r="F7" i="3"/>
  <c r="Q6" i="3"/>
  <c r="H6" i="3"/>
  <c r="F6" i="3"/>
  <c r="Q5" i="3"/>
  <c r="N5" i="3"/>
  <c r="N6" i="3" s="1"/>
  <c r="H5" i="3"/>
  <c r="F5" i="3"/>
  <c r="Q4" i="3"/>
  <c r="Q17" i="3" s="1"/>
  <c r="N4" i="3"/>
  <c r="L4" i="3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H4" i="3"/>
  <c r="F4" i="3"/>
  <c r="D4" i="3"/>
  <c r="C4" i="3"/>
  <c r="B4" i="3"/>
  <c r="F6" i="5" l="1"/>
  <c r="N7" i="3"/>
  <c r="C17" i="3"/>
  <c r="D9" i="6"/>
  <c r="E4" i="3"/>
  <c r="C9" i="4"/>
  <c r="C7" i="4"/>
  <c r="F5" i="5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K5" i="3"/>
  <c r="K6" i="3" s="1"/>
  <c r="K7" i="3" s="1"/>
  <c r="K8" i="3" s="1"/>
  <c r="K9" i="3" s="1"/>
  <c r="K10" i="3" s="1"/>
  <c r="K11" i="3" s="1"/>
  <c r="K12" i="3" s="1"/>
  <c r="K13" i="3" s="1"/>
  <c r="K14" i="3" s="1"/>
  <c r="K15" i="3" s="1"/>
  <c r="F4" i="5"/>
  <c r="L17" i="3"/>
  <c r="D21" i="6"/>
  <c r="A22" i="6"/>
  <c r="G22" i="6"/>
  <c r="D23" i="6"/>
  <c r="A24" i="6"/>
  <c r="G24" i="6"/>
  <c r="D25" i="6"/>
  <c r="A26" i="6"/>
  <c r="G26" i="6"/>
  <c r="D27" i="6"/>
  <c r="A28" i="6"/>
  <c r="G28" i="6"/>
  <c r="D29" i="6"/>
  <c r="A30" i="6"/>
  <c r="G30" i="6"/>
  <c r="D31" i="6"/>
  <c r="A32" i="6"/>
  <c r="G32" i="6"/>
  <c r="A21" i="6"/>
  <c r="A23" i="6"/>
  <c r="A25" i="6"/>
  <c r="A27" i="6"/>
  <c r="A29" i="6"/>
  <c r="A31" i="6"/>
  <c r="N8" i="3" l="1"/>
  <c r="F7" i="5"/>
  <c r="P4" i="3"/>
  <c r="O4" i="3"/>
  <c r="G4" i="3"/>
  <c r="B5" i="3"/>
  <c r="B4" i="5"/>
  <c r="B21" i="6" s="1"/>
  <c r="M4" i="3"/>
  <c r="K17" i="3"/>
  <c r="D5" i="3" l="1"/>
  <c r="F8" i="5"/>
  <c r="N9" i="3"/>
  <c r="C4" i="5"/>
  <c r="I4" i="3"/>
  <c r="E4" i="5"/>
  <c r="H21" i="6" s="1"/>
  <c r="N10" i="3" l="1"/>
  <c r="F9" i="5"/>
  <c r="E5" i="3"/>
  <c r="D4" i="5"/>
  <c r="E21" i="6" s="1"/>
  <c r="R4" i="3"/>
  <c r="J4" i="3"/>
  <c r="S4" i="3" l="1"/>
  <c r="B5" i="5"/>
  <c r="B22" i="6" s="1"/>
  <c r="B6" i="3"/>
  <c r="M5" i="3"/>
  <c r="P5" i="3"/>
  <c r="O5" i="3"/>
  <c r="G5" i="3"/>
  <c r="F10" i="5"/>
  <c r="N11" i="3"/>
  <c r="D6" i="3" l="1"/>
  <c r="G4" i="5"/>
  <c r="T4" i="3"/>
  <c r="C5" i="5"/>
  <c r="I5" i="3"/>
  <c r="N12" i="3"/>
  <c r="F11" i="5"/>
  <c r="E5" i="5"/>
  <c r="H22" i="6" s="1"/>
  <c r="D5" i="5" l="1"/>
  <c r="E22" i="6" s="1"/>
  <c r="R5" i="3"/>
  <c r="J5" i="3"/>
  <c r="F12" i="5"/>
  <c r="N13" i="3"/>
  <c r="H4" i="5"/>
  <c r="E6" i="3"/>
  <c r="S5" i="3" l="1"/>
  <c r="B6" i="5"/>
  <c r="B23" i="6" s="1"/>
  <c r="B7" i="3"/>
  <c r="M6" i="3"/>
  <c r="O6" i="3"/>
  <c r="G6" i="3"/>
  <c r="P6" i="3"/>
  <c r="N14" i="3"/>
  <c r="F13" i="5"/>
  <c r="G5" i="5" l="1"/>
  <c r="T5" i="3"/>
  <c r="C6" i="5"/>
  <c r="I6" i="3"/>
  <c r="F14" i="5"/>
  <c r="N15" i="3"/>
  <c r="E6" i="5"/>
  <c r="H23" i="6" s="1"/>
  <c r="D7" i="3"/>
  <c r="E7" i="3"/>
  <c r="O7" i="3" l="1"/>
  <c r="G7" i="3"/>
  <c r="M7" i="3"/>
  <c r="B7" i="5"/>
  <c r="B24" i="6" s="1"/>
  <c r="B8" i="3"/>
  <c r="P7" i="3"/>
  <c r="D6" i="5"/>
  <c r="E23" i="6" s="1"/>
  <c r="R6" i="3"/>
  <c r="J6" i="3"/>
  <c r="F15" i="5"/>
  <c r="N17" i="3"/>
  <c r="H5" i="5"/>
  <c r="E7" i="5" l="1"/>
  <c r="H24" i="6" s="1"/>
  <c r="C7" i="5"/>
  <c r="I7" i="3"/>
  <c r="S6" i="3"/>
  <c r="D8" i="3"/>
  <c r="E8" i="3" s="1"/>
  <c r="P8" i="3" l="1"/>
  <c r="M8" i="3"/>
  <c r="B8" i="5"/>
  <c r="B25" i="6" s="1"/>
  <c r="B9" i="3"/>
  <c r="G8" i="3"/>
  <c r="O8" i="3"/>
  <c r="D7" i="5"/>
  <c r="E24" i="6" s="1"/>
  <c r="R7" i="3"/>
  <c r="J7" i="3"/>
  <c r="G6" i="5"/>
  <c r="T6" i="3"/>
  <c r="D9" i="3" l="1"/>
  <c r="E9" i="3" s="1"/>
  <c r="H6" i="5"/>
  <c r="E8" i="5"/>
  <c r="H25" i="6" s="1"/>
  <c r="S7" i="3"/>
  <c r="C8" i="5"/>
  <c r="I8" i="3"/>
  <c r="B10" i="3" l="1"/>
  <c r="M9" i="3"/>
  <c r="E9" i="5" s="1"/>
  <c r="H26" i="6" s="1"/>
  <c r="B9" i="5"/>
  <c r="B26" i="6" s="1"/>
  <c r="P9" i="3"/>
  <c r="O9" i="3"/>
  <c r="G9" i="3"/>
  <c r="D8" i="5"/>
  <c r="E25" i="6" s="1"/>
  <c r="R8" i="3"/>
  <c r="J8" i="3"/>
  <c r="G7" i="5"/>
  <c r="T7" i="3"/>
  <c r="H7" i="5" l="1"/>
  <c r="I9" i="3"/>
  <c r="C9" i="5"/>
  <c r="S8" i="3"/>
  <c r="D10" i="3"/>
  <c r="E10" i="3" s="1"/>
  <c r="B11" i="3" l="1"/>
  <c r="P10" i="3"/>
  <c r="B10" i="5"/>
  <c r="B27" i="6" s="1"/>
  <c r="O10" i="3"/>
  <c r="M10" i="3"/>
  <c r="E10" i="5" s="1"/>
  <c r="H27" i="6" s="1"/>
  <c r="G10" i="3"/>
  <c r="D9" i="5"/>
  <c r="E26" i="6" s="1"/>
  <c r="T9" i="3"/>
  <c r="H9" i="5" s="1"/>
  <c r="J9" i="3"/>
  <c r="R9" i="3"/>
  <c r="S9" i="3" s="1"/>
  <c r="G9" i="5" s="1"/>
  <c r="G8" i="5"/>
  <c r="T8" i="3"/>
  <c r="C10" i="5" l="1"/>
  <c r="I10" i="3"/>
  <c r="H8" i="5"/>
  <c r="D11" i="3"/>
  <c r="E11" i="3" s="1"/>
  <c r="O11" i="3" l="1"/>
  <c r="G11" i="3"/>
  <c r="M11" i="3"/>
  <c r="E11" i="5" s="1"/>
  <c r="H28" i="6" s="1"/>
  <c r="B11" i="5"/>
  <c r="B28" i="6" s="1"/>
  <c r="B12" i="3"/>
  <c r="P11" i="3"/>
  <c r="D10" i="5"/>
  <c r="E27" i="6" s="1"/>
  <c r="R10" i="3"/>
  <c r="S10" i="3" s="1"/>
  <c r="G10" i="5" s="1"/>
  <c r="J10" i="3"/>
  <c r="C11" i="5" l="1"/>
  <c r="I11" i="3"/>
  <c r="T10" i="3"/>
  <c r="H10" i="5" s="1"/>
  <c r="D12" i="3"/>
  <c r="E12" i="3" s="1"/>
  <c r="P12" i="3" l="1"/>
  <c r="M12" i="3"/>
  <c r="E12" i="5" s="1"/>
  <c r="H29" i="6" s="1"/>
  <c r="B12" i="5"/>
  <c r="B29" i="6" s="1"/>
  <c r="B13" i="3"/>
  <c r="G12" i="3"/>
  <c r="O12" i="3"/>
  <c r="D11" i="5"/>
  <c r="E28" i="6" s="1"/>
  <c r="R11" i="3"/>
  <c r="S11" i="3" s="1"/>
  <c r="G11" i="5" s="1"/>
  <c r="J11" i="3"/>
  <c r="D13" i="3" l="1"/>
  <c r="E13" i="3" s="1"/>
  <c r="T11" i="3"/>
  <c r="H11" i="5" s="1"/>
  <c r="C12" i="5"/>
  <c r="I12" i="3"/>
  <c r="B14" i="3" l="1"/>
  <c r="M13" i="3"/>
  <c r="E13" i="5" s="1"/>
  <c r="H30" i="6" s="1"/>
  <c r="B13" i="5"/>
  <c r="B30" i="6" s="1"/>
  <c r="P13" i="3"/>
  <c r="O13" i="3"/>
  <c r="G13" i="3"/>
  <c r="D12" i="5"/>
  <c r="E29" i="6" s="1"/>
  <c r="T12" i="3"/>
  <c r="H12" i="5" s="1"/>
  <c r="R12" i="3"/>
  <c r="S12" i="3" s="1"/>
  <c r="G12" i="5" s="1"/>
  <c r="J12" i="3"/>
  <c r="I13" i="3" l="1"/>
  <c r="C13" i="5"/>
  <c r="E14" i="3"/>
  <c r="D14" i="3"/>
  <c r="B15" i="3" l="1"/>
  <c r="P14" i="3"/>
  <c r="B14" i="5"/>
  <c r="B31" i="6" s="1"/>
  <c r="O14" i="3"/>
  <c r="G14" i="3"/>
  <c r="M14" i="3"/>
  <c r="E14" i="5" s="1"/>
  <c r="H31" i="6" s="1"/>
  <c r="D13" i="5"/>
  <c r="E30" i="6" s="1"/>
  <c r="T13" i="3"/>
  <c r="H13" i="5" s="1"/>
  <c r="J13" i="3"/>
  <c r="R13" i="3"/>
  <c r="S13" i="3" s="1"/>
  <c r="G13" i="5" s="1"/>
  <c r="C14" i="5" l="1"/>
  <c r="I14" i="3"/>
  <c r="D15" i="3"/>
  <c r="D17" i="3" s="1"/>
  <c r="D14" i="5" l="1"/>
  <c r="E31" i="6" s="1"/>
  <c r="R14" i="3"/>
  <c r="S14" i="3" s="1"/>
  <c r="G14" i="5" s="1"/>
  <c r="J14" i="3"/>
  <c r="T14" i="3"/>
  <c r="H14" i="5" s="1"/>
  <c r="E15" i="3"/>
  <c r="A5" i="6" l="1"/>
  <c r="O15" i="3"/>
  <c r="G15" i="3"/>
  <c r="M15" i="3"/>
  <c r="B15" i="5"/>
  <c r="B32" i="6" s="1"/>
  <c r="P15" i="3"/>
  <c r="P17" i="3" s="1"/>
  <c r="C15" i="5" l="1"/>
  <c r="D5" i="6"/>
  <c r="I15" i="3"/>
  <c r="C10" i="4"/>
  <c r="O17" i="3"/>
  <c r="E15" i="5"/>
  <c r="H32" i="6" s="1"/>
  <c r="M17" i="3"/>
  <c r="A9" i="6" s="1"/>
  <c r="D15" i="5" l="1"/>
  <c r="E32" i="6" s="1"/>
  <c r="G5" i="6"/>
  <c r="R15" i="3"/>
  <c r="J15" i="3"/>
  <c r="J17" i="3" s="1"/>
  <c r="I17" i="3"/>
  <c r="C12" i="4"/>
  <c r="J9" i="6" s="1"/>
  <c r="C11" i="4"/>
  <c r="G9" i="6" s="1"/>
  <c r="R17" i="3" l="1"/>
  <c r="S15" i="3"/>
  <c r="J5" i="6"/>
  <c r="G15" i="5" l="1"/>
  <c r="S17" i="3"/>
  <c r="T15" i="3"/>
  <c r="H15" i="5" l="1"/>
  <c r="T17" i="3"/>
</calcChain>
</file>

<file path=xl/sharedStrings.xml><?xml version="1.0" encoding="utf-8"?>
<sst xmlns="http://schemas.openxmlformats.org/spreadsheetml/2006/main" count="190" uniqueCount="151">
  <si>
    <t>SmartBudget AI — Mode d'emploi du modèle financier</t>
  </si>
  <si>
    <t>Objectif</t>
  </si>
  <si>
    <t>Modéliser la logique business de SmartBudget AI et fournir une base propre à importer dans Lovable pour générer un tableau de bord.</t>
  </si>
  <si>
    <t>Important</t>
  </si>
  <si>
    <t>Ce fichier modélise le business SaaS. Le mini budget tracker personnel visible dans l'app publique est une démonstration produit distincte.</t>
  </si>
  <si>
    <t>Lien app</t>
  </si>
  <si>
    <t>https://smart-coin-whisperer-68.lovable.app</t>
  </si>
  <si>
    <t>Cohérence visée</t>
  </si>
  <si>
    <t>Fin d'année : 1064 utilisateurs, 160 premium, MRR décembre 958.40 $, revenu Année 1 6079.85 $, économies moyennes décembre 48.45 $/mois.</t>
  </si>
  <si>
    <t>Sheets</t>
  </si>
  <si>
    <t>Hypotheses / Previsions_12M / Economie_Unitaire / Import_Dashboard / Dashboard / Prompt_Lovable / Coherence_App</t>
  </si>
  <si>
    <t>Utilisation</t>
  </si>
  <si>
    <t>Modifier uniquement la colonne Valeur dans Hypotheses pour recalculer le modèle complet.</t>
  </si>
  <si>
    <t>Hypothèses de base — SmartBudget AI</t>
  </si>
  <si>
    <t>Catégorie</t>
  </si>
  <si>
    <t>Hypothèse</t>
  </si>
  <si>
    <t>Valeur</t>
  </si>
  <si>
    <t>Unité</t>
  </si>
  <si>
    <t>Commentaire</t>
  </si>
  <si>
    <t>Source</t>
  </si>
  <si>
    <t>Marché</t>
  </si>
  <si>
    <t>Utilisateurs actifs au lancement</t>
  </si>
  <si>
    <t>users</t>
  </si>
  <si>
    <t>Lancement prudent pour un prototype campus / jeunes actifs</t>
  </si>
  <si>
    <t>Nouveaux utilisateurs - mois 1</t>
  </si>
  <si>
    <t>Acquisition initiale organique + bouche à oreille</t>
  </si>
  <si>
    <t>Croissance</t>
  </si>
  <si>
    <t>Croissance mensuelle des nouvelles acquisitions</t>
  </si>
  <si>
    <t>%</t>
  </si>
  <si>
    <t>Croissance progressive de la notoriété</t>
  </si>
  <si>
    <t>Rétention</t>
  </si>
  <si>
    <t>Churn mensuel utilisateurs actifs</t>
  </si>
  <si>
    <t>Perte modérée d’utilisateurs pour une app débutante</t>
  </si>
  <si>
    <t>Monétisation</t>
  </si>
  <si>
    <t>Taux de conversion premium</t>
  </si>
  <si>
    <t>Proposition de valeur claire + prix accessible</t>
  </si>
  <si>
    <t>Prix abonnement premium mensuel</t>
  </si>
  <si>
    <t>CAD</t>
  </si>
  <si>
    <t>Prix étudiant / jeune adulte</t>
  </si>
  <si>
    <t>Comportement</t>
  </si>
  <si>
    <t>Dépense mensuelle moyenne avant app</t>
  </si>
  <si>
    <t>Budget moyen cible</t>
  </si>
  <si>
    <t>Valeur client</t>
  </si>
  <si>
    <t>Économies moyennes / utilisateur - mois 1</t>
  </si>
  <si>
    <t>Gain initial réaliste</t>
  </si>
  <si>
    <t>Amélioration mensuelle des économies</t>
  </si>
  <si>
    <t>Amélioration graduelle des habitudes</t>
  </si>
  <si>
    <t>Marketing</t>
  </si>
  <si>
    <t>Dépenses marketing - mois 1</t>
  </si>
  <si>
    <t>Budget prudent</t>
  </si>
  <si>
    <t>Croissance mensuelle budget marketing</t>
  </si>
  <si>
    <t>Effort acquisition croissant</t>
  </si>
  <si>
    <t>Coûts</t>
  </si>
  <si>
    <t>Coût IA variable / utilisateur actif</t>
  </si>
  <si>
    <t>Inference et conseils</t>
  </si>
  <si>
    <t>Coût support + infra variable / utilisateur actif</t>
  </si>
  <si>
    <t>Cloud léger + support</t>
  </si>
  <si>
    <t>Frais fixes mensuels</t>
  </si>
  <si>
    <t>Outils, maintenance, design</t>
  </si>
  <si>
    <t>Frais de paiement sur revenu</t>
  </si>
  <si>
    <t>Passerelle de paiement</t>
  </si>
  <si>
    <t>Part des acquisitions venant du paid</t>
  </si>
  <si>
    <t>Le reste vient de l’organique</t>
  </si>
  <si>
    <t>Prévisions financières sur 12 mois — scénario central</t>
  </si>
  <si>
    <t>Mois</t>
  </si>
  <si>
    <t>Utilisateurs début</t>
  </si>
  <si>
    <t>Nouveaux utilisateurs</t>
  </si>
  <si>
    <t>Utilisateurs perdus</t>
  </si>
  <si>
    <t>Utilisateurs fin</t>
  </si>
  <si>
    <t>Conversion premium</t>
  </si>
  <si>
    <t>Abonnés premium</t>
  </si>
  <si>
    <t>Prix premium</t>
  </si>
  <si>
    <t>MRR</t>
  </si>
  <si>
    <t>ARPU</t>
  </si>
  <si>
    <t>Dépense moyenne / utilisateur</t>
  </si>
  <si>
    <t>Économies moyennes / utilisateur</t>
  </si>
  <si>
    <t>Économies totales générées</t>
  </si>
  <si>
    <t>Coût IA</t>
  </si>
  <si>
    <t>Coût support+infra</t>
  </si>
  <si>
    <t>Frais fixes</t>
  </si>
  <si>
    <t>Frais paiement</t>
  </si>
  <si>
    <t>Coûts totaux</t>
  </si>
  <si>
    <t>Contribution après marketing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</si>
  <si>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</si>
  <si>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</si>
  <si>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</si>
  <si>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</si>
  <si>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</si>
  <si>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</si>
  <si>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</si>
  <si>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</si>
  <si>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</si>
  <si>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</si>
  <si>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</si>
  <si>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</si>
  <si>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/ Moyenne</t>
  </si>
  <si>
    <t>Économie unitaire — SmartBudget AI</t>
  </si>
  <si>
    <t>Indicateur</t>
  </si>
  <si>
    <t>Formule / logique</t>
  </si>
  <si>
    <t>Interprétation</t>
  </si>
  <si>
    <t>Lecture orale</t>
  </si>
  <si>
    <t>ARPPU mensuel</t>
  </si>
  <si>
    <t>Revenu mensuel par abonné payant</t>
  </si>
  <si>
    <t>Abonnement accessible</t>
  </si>
  <si>
    <t>Coût variable par abonné payant</t>
  </si>
  <si>
    <t>(coût IA + support) / conversion + frais paiement</t>
  </si>
  <si>
    <t>Approximation pédagogique du coût variable premium</t>
  </si>
  <si>
    <t>Relie la base active à la base payante</t>
  </si>
  <si>
    <t>Marge brute / abonné</t>
  </si>
  <si>
    <t>ARPPU - coût variable / abonné</t>
  </si>
  <si>
    <t>Valeur brute avant marketing</t>
  </si>
  <si>
    <t>Doit rester positive</t>
  </si>
  <si>
    <t>Marge brute %</t>
  </si>
  <si>
    <t>Marge brute / ARPPU</t>
  </si>
  <si>
    <t>Qualité économique du produit</t>
  </si>
  <si>
    <t>Plus c’est élevé, mieux c’est</t>
  </si>
  <si>
    <t>Durée de vie client (mois)</t>
  </si>
  <si>
    <t>1 / churn premium (proxy actif)</t>
  </si>
  <si>
    <t>Durée de vie théorique</t>
  </si>
  <si>
    <t>Hypothèse prudente</t>
  </si>
  <si>
    <t>LTV brut</t>
  </si>
  <si>
    <t>Marge brute / abonné x durée de vie</t>
  </si>
  <si>
    <t>Valeur brute par client payant</t>
  </si>
  <si>
    <t>Doit dépasser le CAC</t>
  </si>
  <si>
    <t>CAC payant estimé</t>
  </si>
  <si>
    <t>Marketing annuel / nouveaux premium annuels</t>
  </si>
  <si>
    <t>Coût d’acquisition d’un client payant</t>
  </si>
  <si>
    <t>À comparer à la LTV</t>
  </si>
  <si>
    <t>LTV / CAC</t>
  </si>
  <si>
    <t>LTV brut / CAC</t>
  </si>
  <si>
    <t>Au-dessus de 3x = modèle sain</t>
  </si>
  <si>
    <t>Ici le ratio reste solide</t>
  </si>
  <si>
    <t>Payback (mois)</t>
  </si>
  <si>
    <t>CAC / marge brute mensuelle</t>
  </si>
  <si>
    <t>Temps de remboursement du CAC</t>
  </si>
  <si>
    <t>Court = bon signe</t>
  </si>
  <si>
    <t>Table simplifiée pour import dashboard</t>
  </si>
  <si>
    <t>Utilisateurs actifs fin</t>
  </si>
  <si>
    <t>Revenu mensuel</t>
  </si>
  <si>
    <t>Économies totales</t>
  </si>
  <si>
    <t>Contribution</t>
  </si>
  <si>
    <t>Dashboard — SmartBudget AI</t>
  </si>
  <si>
    <t>Cohérent avec l’app business : Users fin année, Premium fin année, MRR décembre, Revenu total Année 1, économies et qualité économique.</t>
  </si>
  <si>
    <t>Users fin année</t>
  </si>
  <si>
    <t>Premium fin année</t>
  </si>
  <si>
    <t>MRR décembre</t>
  </si>
  <si>
    <t>Revenu total Année 1</t>
  </si>
  <si>
    <t>Économies Année 1</t>
  </si>
  <si>
    <t>Avg savings déc./mois</t>
  </si>
  <si>
    <t>Note de cohérence : ce dashboard modélise la logique business SaaS. Le budget personnel affiché dans l’app publique est une démonstration produit distincte, donc il ne doit pas être confondu avec ce modèle financier.</t>
  </si>
  <si>
    <t>Utilisateurs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</si>
</sst>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.00"/>
  </numFmts>
  <fonts count="8">
    <font>
      <sz val="11"/>
      <name val="Carlito"/>
    </font>
    <font>
      <b/>
      <sz val="16"/>
      <color rgb="FFFFFFFF"/>
      <name val="Carlito"/>
    </font>
    <font>
      <b/>
      <sz val="12"/>
      <color rgb="FFFFFFFF"/>
      <name val="Carlito"/>
    </font>
    <font>
      <sz val="10"/>
      <color rgb="FF0F172A"/>
      <name val="Carlito"/>
    </font>
    <font>
      <b/>
      <sz val="11"/>
      <color rgb="FFFFFFFF"/>
      <name val="Carlito"/>
    </font>
    <font>
      <b/>
      <sz val="18"/>
      <color rgb="FF0F172A"/>
      <name val="Carlito"/>
    </font>
    <font>
      <sz val="11"/>
      <color rgb="FF0F172A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1D4ED8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2" fillId="4" borderId="0" xfId="0" applyFont="1" applyFill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5" fontId="2" fillId="4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vertical="center" wrapText="1"/>
    </xf>
    <xf numFmtId="1" fontId="5" fillId="6" borderId="0" xfId="0" applyNumberFormat="1" applyFont="1" applyFill="1" applyAlignment="1">
      <alignment horizontal="center" vertical="center"/>
    </xf>
    <xf numFmtId="165" fontId="5" fillId="6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2" fontId="5" fillId="6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vertical="center" wrapText="1"/>
    </xf>
    <xf numFmtId="0" fontId="7" fillId="0" borderId="0" xfId="0" applyFont="1" applyAlignment="1">
      <alignment wrapText="1"/>
    </xf>
    <xf numFmtId="164" fontId="7" fillId="0" borderId="0" xfId="0" applyNumberFormat="1" applyFont="1" applyAlignment="1">
      <alignment wrapText="1"/>
    </xf>
    <xf numFmtId="165" fontId="7" fillId="0" borderId="0" xfId="0" applyNumberFormat="1" applyFont="1" applyAlignment="1">
      <alignment wrapText="1"/>
    </xf>
    <xf numFmtId="0" fontId="7" fillId="0" borderId="0" xfId="0" applyFont="1"/>
    <xf numFmtId="0" fontId="7" fillId="0" borderId="1" xfId="0" applyFont="1" applyBorder="1"/>
    <xf numFmtId="165" fontId="7" fillId="0" borderId="1" xfId="0" applyNumberFormat="1" applyFont="1" applyBorder="1"/>
    <xf numFmtId="0" fontId="7" fillId="0" borderId="1" xfId="0" applyFont="1" applyBorder="1" applyAlignment="1">
      <alignment wrapText="1"/>
    </xf>
    <xf numFmtId="165" fontId="7" fillId="0" borderId="1" xfId="0" applyNumberFormat="1" applyFont="1" applyBorder="1" applyAlignment="1">
      <alignment wrapText="1"/>
    </xf>
    <xf numFmtId="164" fontId="7" fillId="0" borderId="1" xfId="0" applyNumberFormat="1" applyFont="1" applyBorder="1" applyAlignment="1">
      <alignment wrapText="1"/>
    </xf>
    <xf numFmtId="2" fontId="7" fillId="0" borderId="1" xfId="0" applyNumberFormat="1" applyFont="1" applyBorder="1" applyAlignment="1">
      <alignment wrapText="1"/>
    </xf>
    <xf numFmtId="165" fontId="0" fillId="0" borderId="1" xfId="0" applyNumberFormat="1" applyBorder="1" applyAlignment="1">
      <alignment wrapText="1"/>
    </xf>
    <xf numFmtId="165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c:style val="2"/>
  <c:chart>
    <c:title>
      <c:tx>
        <c:rich>
          <a:bodyPr/>
          <a:lstStyle/>
          <a:p>
            <a:r>
              <a:rPr lang="fr-FR"/>
              <a:t>Évolution des utilisateurs actifs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52111149149835"/>
          <c:y val="0.1732566652852604"/>
          <c:w val="0.87075059910989383"/>
          <c:h val="0.52559745821246029"/>
        </c:manualLayout>
      </c:layout>
      <c:lineChart>
        <c:grouping val="standard"/>
        <c:varyColors val="1"/>
        <c:ser>
          <c:idx val="0"/>
          <c:order val="0"/>
          <c:tx>
            <c:v>Utilisateurs</c:v>
          </c:tx>
          <c:cat>
            <c:strRef>
              <c:f>Dashboard!$A$21:$A$32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Dashboard!$B$21:$B$32</c:f>
              <c:numCache>
                <c:formatCode>General</c:formatCode>
                <c:ptCount val="12"/>
                <c:pt idx="0">
                  <c:v>173</c:v>
                </c:pt>
                <c:pt idx="1">
                  <c:v>229</c:v>
                </c:pt>
                <c:pt idx="2">
                  <c:v>288</c:v>
                </c:pt>
                <c:pt idx="3">
                  <c:v>351</c:v>
                </c:pt>
                <c:pt idx="4">
                  <c:v>418</c:v>
                </c:pt>
                <c:pt idx="5">
                  <c:v>490</c:v>
                </c:pt>
                <c:pt idx="6">
                  <c:v>568</c:v>
                </c:pt>
                <c:pt idx="7">
                  <c:v>652</c:v>
                </c:pt>
                <c:pt idx="8">
                  <c:v>743</c:v>
                </c:pt>
                <c:pt idx="9">
                  <c:v>841</c:v>
                </c:pt>
                <c:pt idx="10">
                  <c:v>948</c:v>
                </c:pt>
                <c:pt idx="11">
                  <c:v>1064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6C-46F8-AC94-189DF3365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c:style val="2"/>
  <c:chart>
    <c:title>
      <c:tx>
        <c:rich>
          <a:bodyPr/>
          <a:lstStyle/>
          <a:p>
            <a:r>
              <a:rPr lang="fr-FR"/>
              <a:t>Évolution du revenu mensuel (MRR)</a:t>
            </a:r>
          </a:p>
        </c:rich>
      </c:tx>
      <c:layout>
        <c:manualLayout>
          <c:xMode val="edge"/>
          <c:yMode val="edge"/>
          <c:x val="0.20815217391304347"/>
          <c:y val="2.631578947368420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485821065845029"/>
          <c:y val="0.22150227932034808"/>
          <c:w val="0.79526703183841152"/>
          <c:h val="0.43787815996684626"/>
        </c:manualLayout>
      </c:layout>
      <c:lineChart>
        <c:grouping val="standard"/>
        <c:varyColors val="1"/>
        <c:ser>
          <c:idx val="0"/>
          <c:order val="0"/>
          <c:tx>
            <c:v>MRR</c:v>
          </c:tx>
          <c:cat>
            <c:strRef>
              <c:f>Dashboard!$D$21:$D$32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Dashboard!$E$21:$E$32</c:f>
              <c:numCache>
                <c:formatCode>\$#\ ##0.00</c:formatCode>
                <c:ptCount val="12"/>
                <c:pt idx="0">
                  <c:v>155.74</c:v>
                </c:pt>
                <c:pt idx="1">
                  <c:v>203.66</c:v>
                </c:pt>
                <c:pt idx="2">
                  <c:v>257.57</c:v>
                </c:pt>
                <c:pt idx="3">
                  <c:v>317.47000000000003</c:v>
                </c:pt>
                <c:pt idx="4">
                  <c:v>377.37</c:v>
                </c:pt>
                <c:pt idx="5">
                  <c:v>443.26</c:v>
                </c:pt>
                <c:pt idx="6">
                  <c:v>509.15000000000003</c:v>
                </c:pt>
                <c:pt idx="7">
                  <c:v>587.02</c:v>
                </c:pt>
                <c:pt idx="8">
                  <c:v>664.89</c:v>
                </c:pt>
                <c:pt idx="9">
                  <c:v>754.74</c:v>
                </c:pt>
                <c:pt idx="10">
                  <c:v>850.58</c:v>
                </c:pt>
                <c:pt idx="11">
                  <c:v>958.40000000000009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75-4C39-B40A-2238D9F2A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\ 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c:style val="2"/>
  <c:chart>
    <c:title>
      <c:tx>
        <c:rich>
          <a:bodyPr/>
          <a:lstStyle/>
          <a:p>
            <a:r>
              <a:rPr lang="fr-FR"/>
              <a:t>Économies totales générées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0170439632545936"/>
          <c:y val="0.28729175300455861"/>
          <c:w val="0.75662893700787404"/>
          <c:h val="0.38963254593175856"/>
        </c:manualLayout>
      </c:layout>
      <c:lineChart>
        <c:grouping val="standard"/>
        <c:varyColors val="1"/>
        <c:ser>
          <c:idx val="0"/>
          <c:order val="0"/>
          <c:tx>
            <c:v>Économies totales</c:v>
          </c:tx>
          <c:cat>
            <c:strRef>
              <c:f>Dashboard!$G$21:$G$32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Dashboard!$H$21:$H$32</c:f>
              <c:numCache>
                <c:formatCode>\$#\ ##0.00</c:formatCode>
                <c:ptCount val="12"/>
                <c:pt idx="0">
                  <c:v>6055</c:v>
                </c:pt>
                <c:pt idx="1">
                  <c:v>8255.4500000000007</c:v>
                </c:pt>
                <c:pt idx="2">
                  <c:v>10693.872000000001</c:v>
                </c:pt>
                <c:pt idx="3">
                  <c:v>13424.151195000002</c:v>
                </c:pt>
                <c:pt idx="4">
                  <c:v>16466.193890300001</c:v>
                </c:pt>
                <c:pt idx="5">
                  <c:v>19881.550374245002</c:v>
                </c:pt>
                <c:pt idx="6">
                  <c:v>23737.759654996524</c:v>
                </c:pt>
                <c:pt idx="7">
                  <c:v>28065.72160899554</c:v>
                </c:pt>
                <c:pt idx="8">
                  <c:v>32942.355966484967</c:v>
                </c:pt>
                <c:pt idx="9">
                  <c:v>38405.998666013824</c:v>
                </c:pt>
                <c:pt idx="10">
                  <c:v>44591.14546663798</c:v>
                </c:pt>
                <c:pt idx="11">
                  <c:v>51548.869345778367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B-4A7A-907C-C35673107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\ 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33</xdr:row>
      <xdr:rowOff>38100</xdr:rowOff>
    </xdr:from>
    <xdr:to>
      <xdr:col>4</xdr:col>
      <xdr:colOff>209550</xdr:colOff>
      <xdr:row>49</xdr:row>
      <xdr:rowOff>38100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533400</xdr:colOff>
      <xdr:row>33</xdr:row>
      <xdr:rowOff>0</xdr:rowOff>
    </xdr:from>
    <xdr:to>
      <xdr:col>9</xdr:col>
      <xdr:colOff>228600</xdr:colOff>
      <xdr:row>49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866775</xdr:colOff>
      <xdr:row>32</xdr:row>
      <xdr:rowOff>171450</xdr:rowOff>
    </xdr:from>
    <xdr:to>
      <xdr:col>13</xdr:col>
      <xdr:colOff>485775</xdr:colOff>
      <xdr:row>48</xdr:row>
      <xdr:rowOff>171450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B10" sqref="B10"/>
    </sheetView>
  </sheetViews>
  <sheetFormatPr baseColWidth="10" defaultColWidth="9" defaultRowHeight="14.25"/>
  <cols>
    <col min="1" max="1" width="22" customWidth="1"/>
    <col min="2" max="2" width="96" customWidth="1"/>
  </cols>
  <sheetData>
    <row r="1" spans="1:6" ht="20.25">
      <c r="A1" s="8" t="s">
        <v>0</v>
      </c>
      <c r="B1" s="8"/>
      <c r="C1" s="8"/>
      <c r="D1" s="8"/>
      <c r="E1" s="8"/>
      <c r="F1" s="8"/>
    </row>
    <row r="3" spans="1:6" ht="31.5">
      <c r="A3" s="1" t="s">
        <v>1</v>
      </c>
      <c r="B3" s="1" t="s">
        <v>2</v>
      </c>
    </row>
    <row r="4" spans="1:6" ht="30">
      <c r="A4" s="16" t="s">
        <v>3</v>
      </c>
      <c r="B4" s="16" t="s">
        <v>4</v>
      </c>
    </row>
    <row r="5" spans="1:6" ht="15">
      <c r="A5" s="16" t="s">
        <v>5</v>
      </c>
      <c r="B5" s="16" t="s">
        <v>6</v>
      </c>
    </row>
    <row r="6" spans="1:6" ht="30">
      <c r="A6" s="16" t="s">
        <v>7</v>
      </c>
      <c r="B6" s="16" t="s">
        <v>8</v>
      </c>
    </row>
    <row r="7" spans="1:6" ht="30">
      <c r="A7" s="16" t="s">
        <v>9</v>
      </c>
      <c r="B7" s="16" t="s">
        <v>10</v>
      </c>
    </row>
    <row r="8" spans="1:6" ht="15">
      <c r="A8" s="16" t="s">
        <v>11</v>
      </c>
      <c r="B8" s="16" t="s">
        <v>12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opLeftCell="A3" workbookViewId="0">
      <selection activeCell="E9" sqref="E9"/>
    </sheetView>
  </sheetViews>
  <sheetFormatPr baseColWidth="10" defaultColWidth="9" defaultRowHeight="14.25"/>
  <cols>
    <col min="1" max="1" width="16" customWidth="1"/>
    <col min="2" max="2" width="40" customWidth="1"/>
    <col min="3" max="3" width="14" customWidth="1"/>
    <col min="4" max="4" width="12" customWidth="1"/>
    <col min="5" max="5" width="42" customWidth="1"/>
    <col min="6" max="6" width="38" customWidth="1"/>
  </cols>
  <sheetData>
    <row r="1" spans="1:6" ht="20.25">
      <c r="A1" s="8" t="s">
        <v>13</v>
      </c>
      <c r="B1" s="8"/>
      <c r="C1" s="8"/>
      <c r="D1" s="8"/>
      <c r="E1" s="8"/>
      <c r="F1" s="8"/>
    </row>
    <row r="3" spans="1:6" ht="15.7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</row>
    <row r="4" spans="1:6" ht="30">
      <c r="A4" s="22" t="s">
        <v>20</v>
      </c>
      <c r="B4" s="22" t="s">
        <v>21</v>
      </c>
      <c r="C4" s="22">
        <v>120</v>
      </c>
      <c r="D4" s="22" t="s">
        <v>22</v>
      </c>
      <c r="E4" s="22" t="s">
        <v>23</v>
      </c>
      <c r="F4" s="22" t="s">
        <v>6</v>
      </c>
    </row>
    <row r="5" spans="1:6" ht="30">
      <c r="A5" s="22" t="s">
        <v>20</v>
      </c>
      <c r="B5" s="22" t="s">
        <v>24</v>
      </c>
      <c r="C5" s="22">
        <v>60</v>
      </c>
      <c r="D5" s="22" t="s">
        <v>22</v>
      </c>
      <c r="E5" s="22" t="s">
        <v>25</v>
      </c>
      <c r="F5" s="22" t="s">
        <v>6</v>
      </c>
    </row>
    <row r="6" spans="1:6" ht="30">
      <c r="A6" s="22" t="s">
        <v>26</v>
      </c>
      <c r="B6" s="22" t="s">
        <v>27</v>
      </c>
      <c r="C6" s="24">
        <v>0.1</v>
      </c>
      <c r="D6" s="22" t="s">
        <v>28</v>
      </c>
      <c r="E6" s="22" t="s">
        <v>29</v>
      </c>
      <c r="F6" s="22"/>
    </row>
    <row r="7" spans="1:6" ht="30">
      <c r="A7" s="22" t="s">
        <v>30</v>
      </c>
      <c r="B7" s="22" t="s">
        <v>31</v>
      </c>
      <c r="C7" s="24">
        <v>0.06</v>
      </c>
      <c r="D7" s="22" t="s">
        <v>28</v>
      </c>
      <c r="E7" s="22" t="s">
        <v>32</v>
      </c>
      <c r="F7" s="22"/>
    </row>
    <row r="8" spans="1:6" ht="15">
      <c r="A8" s="22" t="s">
        <v>33</v>
      </c>
      <c r="B8" s="22" t="s">
        <v>34</v>
      </c>
      <c r="C8" s="23">
        <v>0.15</v>
      </c>
      <c r="D8" s="22" t="s">
        <v>28</v>
      </c>
      <c r="E8" s="22" t="s">
        <v>35</v>
      </c>
      <c r="F8" s="22"/>
    </row>
    <row r="9" spans="1:6" ht="15">
      <c r="A9" s="22" t="s">
        <v>33</v>
      </c>
      <c r="B9" s="22" t="s">
        <v>36</v>
      </c>
      <c r="C9" s="24">
        <v>5.99</v>
      </c>
      <c r="D9" s="22" t="s">
        <v>37</v>
      </c>
      <c r="E9" s="22" t="s">
        <v>38</v>
      </c>
      <c r="F9" s="22"/>
    </row>
    <row r="10" spans="1:6" ht="15">
      <c r="A10" s="22" t="s">
        <v>39</v>
      </c>
      <c r="B10" s="22" t="s">
        <v>40</v>
      </c>
      <c r="C10" s="23">
        <v>650</v>
      </c>
      <c r="D10" s="22" t="s">
        <v>37</v>
      </c>
      <c r="E10" s="22" t="s">
        <v>41</v>
      </c>
      <c r="F10" s="22"/>
    </row>
    <row r="11" spans="1:6" ht="15">
      <c r="A11" s="22" t="s">
        <v>42</v>
      </c>
      <c r="B11" s="22" t="s">
        <v>43</v>
      </c>
      <c r="C11" s="24">
        <v>35</v>
      </c>
      <c r="D11" s="22" t="s">
        <v>37</v>
      </c>
      <c r="E11" s="22" t="s">
        <v>44</v>
      </c>
      <c r="F11" s="22"/>
    </row>
    <row r="12" spans="1:6" ht="15">
      <c r="A12" s="22" t="s">
        <v>42</v>
      </c>
      <c r="B12" s="22" t="s">
        <v>45</v>
      </c>
      <c r="C12" s="23">
        <v>0.03</v>
      </c>
      <c r="D12" s="22" t="s">
        <v>28</v>
      </c>
      <c r="E12" s="22" t="s">
        <v>46</v>
      </c>
      <c r="F12" s="22"/>
    </row>
    <row r="13" spans="1:6" ht="15">
      <c r="A13" s="22" t="s">
        <v>47</v>
      </c>
      <c r="B13" s="22" t="s">
        <v>48</v>
      </c>
      <c r="C13" s="22">
        <v>90</v>
      </c>
      <c r="D13" s="22" t="s">
        <v>37</v>
      </c>
      <c r="E13" s="22" t="s">
        <v>49</v>
      </c>
      <c r="F13" s="22"/>
    </row>
    <row r="14" spans="1:6" ht="15">
      <c r="A14" s="22" t="s">
        <v>47</v>
      </c>
      <c r="B14" s="22" t="s">
        <v>50</v>
      </c>
      <c r="C14" s="23">
        <v>0.06</v>
      </c>
      <c r="D14" s="22" t="s">
        <v>28</v>
      </c>
      <c r="E14" s="22" t="s">
        <v>51</v>
      </c>
      <c r="F14" s="22"/>
    </row>
    <row r="15" spans="1:6" ht="15">
      <c r="A15" s="22" t="s">
        <v>52</v>
      </c>
      <c r="B15" s="22" t="s">
        <v>53</v>
      </c>
      <c r="C15" s="24">
        <v>0.18</v>
      </c>
      <c r="D15" s="22" t="s">
        <v>37</v>
      </c>
      <c r="E15" s="22" t="s">
        <v>54</v>
      </c>
      <c r="F15" s="22"/>
    </row>
    <row r="16" spans="1:6" ht="30">
      <c r="A16" s="22" t="s">
        <v>52</v>
      </c>
      <c r="B16" s="22" t="s">
        <v>55</v>
      </c>
      <c r="C16" s="23">
        <v>7.0000000000000007E-2</v>
      </c>
      <c r="D16" s="22" t="s">
        <v>37</v>
      </c>
      <c r="E16" s="22" t="s">
        <v>56</v>
      </c>
      <c r="F16" s="22"/>
    </row>
    <row r="17" spans="1:6" ht="15">
      <c r="A17" s="22" t="s">
        <v>52</v>
      </c>
      <c r="B17" s="22" t="s">
        <v>57</v>
      </c>
      <c r="C17" s="23">
        <v>45</v>
      </c>
      <c r="D17" s="22" t="s">
        <v>37</v>
      </c>
      <c r="E17" s="22" t="s">
        <v>58</v>
      </c>
      <c r="F17" s="22"/>
    </row>
    <row r="18" spans="1:6" ht="15">
      <c r="A18" s="22" t="s">
        <v>52</v>
      </c>
      <c r="B18" s="22" t="s">
        <v>59</v>
      </c>
      <c r="C18" s="23">
        <v>0.03</v>
      </c>
      <c r="D18" s="22" t="s">
        <v>28</v>
      </c>
      <c r="E18" s="22" t="s">
        <v>60</v>
      </c>
      <c r="F18" s="22"/>
    </row>
    <row r="19" spans="1:6" ht="15">
      <c r="A19" s="22" t="s">
        <v>47</v>
      </c>
      <c r="B19" s="22" t="s">
        <v>61</v>
      </c>
      <c r="C19" s="24">
        <v>0.35</v>
      </c>
      <c r="D19" s="22" t="s">
        <v>28</v>
      </c>
      <c r="E19" s="22" t="s">
        <v>62</v>
      </c>
      <c r="F19" s="22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7"/>
  <sheetViews>
    <sheetView topLeftCell="K1" workbookViewId="0">
      <selection activeCell="M18" sqref="M18"/>
    </sheetView>
  </sheetViews>
  <sheetFormatPr baseColWidth="10" defaultColWidth="9" defaultRowHeight="14.25"/>
  <cols>
    <col min="1" max="1" width="14" customWidth="1"/>
    <col min="2" max="2" width="16" customWidth="1"/>
    <col min="3" max="4" width="18" customWidth="1"/>
    <col min="5" max="5" width="16" customWidth="1"/>
    <col min="6" max="6" width="14" customWidth="1"/>
    <col min="7" max="7" width="16" customWidth="1"/>
    <col min="8" max="9" width="12" customWidth="1"/>
    <col min="10" max="10" width="10" customWidth="1"/>
    <col min="11" max="11" width="18" customWidth="1"/>
    <col min="12" max="13" width="20" customWidth="1"/>
    <col min="14" max="15" width="12" customWidth="1"/>
    <col min="16" max="16" width="18" customWidth="1"/>
    <col min="17" max="17" width="12" customWidth="1"/>
    <col min="18" max="19" width="14" customWidth="1"/>
    <col min="20" max="20" width="18" customWidth="1"/>
  </cols>
  <sheetData>
    <row r="1" spans="1:20" ht="20.25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3" spans="1:20" ht="47.25">
      <c r="A3" s="1" t="s">
        <v>64</v>
      </c>
      <c r="B3" s="1" t="s">
        <v>65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47</v>
      </c>
      <c r="O3" s="1" t="s">
        <v>77</v>
      </c>
      <c r="P3" s="1" t="s">
        <v>78</v>
      </c>
      <c r="Q3" s="1" t="s">
        <v>79</v>
      </c>
      <c r="R3" s="1" t="s">
        <v>80</v>
      </c>
      <c r="S3" s="1" t="s">
        <v>81</v>
      </c>
      <c r="T3" s="1" t="s">
        <v>82</v>
      </c>
    </row>
    <row r="4" spans="1:20" ht="15">
      <c r="A4" s="16" t="s">
        <v>83</v>
      </c>
      <c r="B4" s="16">
        <f>Hypotheses!$C$4</f>
        <v>120</v>
      </c>
      <c r="C4" s="16">
        <f>Hypotheses!$C$5</f>
        <v>60</v>
      </c>
      <c r="D4" s="16">
        <f>ROUND(B4*Hypotheses!$C$7,0)</f>
        <v>7</v>
      </c>
      <c r="E4" s="16">
        <f t="shared" ref="E4:E15" si="0">B4+C4-D4</f>
        <v>173</v>
      </c>
      <c r="F4" s="17">
        <f>Hypotheses!$C$8</f>
        <v>0.15</v>
      </c>
      <c r="G4" s="16">
        <f t="shared" ref="G4:G15" si="1">ROUND(E4*F4,0)</f>
        <v>26</v>
      </c>
      <c r="H4" s="18">
        <f>Hypotheses!$C$9</f>
        <v>5.99</v>
      </c>
      <c r="I4" s="18">
        <f t="shared" ref="I4:I15" si="2">G4*H4</f>
        <v>155.74</v>
      </c>
      <c r="J4" s="18">
        <f t="shared" ref="J4:J15" si="3">I4/E4</f>
        <v>0.90023121387283245</v>
      </c>
      <c r="K4" s="23">
        <f>Hypotheses!$C$10</f>
        <v>650</v>
      </c>
      <c r="L4" s="23">
        <f>Hypotheses!$C$11</f>
        <v>35</v>
      </c>
      <c r="M4" s="23">
        <f t="shared" ref="M4:M15" si="4">E4*L4</f>
        <v>6055</v>
      </c>
      <c r="N4" s="23">
        <f>Hypotheses!$C$13</f>
        <v>90</v>
      </c>
      <c r="O4" s="23">
        <f>E4*Hypotheses!$C$15</f>
        <v>31.14</v>
      </c>
      <c r="P4" s="23">
        <f>E4*Hypotheses!$C$16</f>
        <v>12.110000000000001</v>
      </c>
      <c r="Q4" s="23">
        <f>Hypotheses!$C$17</f>
        <v>45</v>
      </c>
      <c r="R4" s="23">
        <f>I4*Hypotheses!$C$18</f>
        <v>4.6722000000000001</v>
      </c>
      <c r="S4" s="23">
        <f t="shared" ref="S4:S15" si="5">N4+O4+P4+Q4+R4</f>
        <v>182.9222</v>
      </c>
      <c r="T4" s="23">
        <f t="shared" ref="T4:T15" si="6">I4-S4</f>
        <v>-27.182199999999995</v>
      </c>
    </row>
    <row r="5" spans="1:20" ht="15">
      <c r="A5" s="16" t="s">
        <v>84</v>
      </c>
      <c r="B5" s="16">
        <f t="shared" ref="B5:B15" si="7">E4</f>
        <v>173</v>
      </c>
      <c r="C5" s="16">
        <f>ROUND(C4*(1+Hypotheses!$C$6),0)</f>
        <v>66</v>
      </c>
      <c r="D5" s="16">
        <f>ROUND(B5*Hypotheses!$C$7,0)</f>
        <v>10</v>
      </c>
      <c r="E5" s="16">
        <f t="shared" si="0"/>
        <v>229</v>
      </c>
      <c r="F5" s="17">
        <f>Hypotheses!$C$8</f>
        <v>0.15</v>
      </c>
      <c r="G5" s="16">
        <f t="shared" si="1"/>
        <v>34</v>
      </c>
      <c r="H5" s="18">
        <f>Hypotheses!$C$9</f>
        <v>5.99</v>
      </c>
      <c r="I5" s="18">
        <f t="shared" si="2"/>
        <v>203.66</v>
      </c>
      <c r="J5" s="18">
        <f t="shared" si="3"/>
        <v>0.88934497816593883</v>
      </c>
      <c r="K5" s="23">
        <f t="shared" ref="K5:K15" si="8">K4*1.005</f>
        <v>653.24999999999989</v>
      </c>
      <c r="L5" s="23">
        <f>L4*(1+Hypotheses!$C$12)</f>
        <v>36.050000000000004</v>
      </c>
      <c r="M5" s="23">
        <f t="shared" si="4"/>
        <v>8255.4500000000007</v>
      </c>
      <c r="N5" s="23">
        <f>N4*(1+Hypotheses!$C$14)</f>
        <v>95.4</v>
      </c>
      <c r="O5" s="23">
        <f>E5*Hypotheses!$C$15</f>
        <v>41.22</v>
      </c>
      <c r="P5" s="23">
        <f>E5*Hypotheses!$C$16</f>
        <v>16.03</v>
      </c>
      <c r="Q5" s="23">
        <f>Hypotheses!$C$17</f>
        <v>45</v>
      </c>
      <c r="R5" s="23">
        <f>I5*Hypotheses!$C$18</f>
        <v>6.1097999999999999</v>
      </c>
      <c r="S5" s="23">
        <f t="shared" si="5"/>
        <v>203.75980000000001</v>
      </c>
      <c r="T5" s="23">
        <f t="shared" si="6"/>
        <v>-9.9800000000016098E-2</v>
      </c>
    </row>
    <row r="6" spans="1:20" ht="15">
      <c r="A6" s="16" t="s">
        <v>85</v>
      </c>
      <c r="B6" s="16">
        <f t="shared" si="7"/>
        <v>229</v>
      </c>
      <c r="C6" s="16">
        <f>ROUND(C5*(1+Hypotheses!$C$6),0)</f>
        <v>73</v>
      </c>
      <c r="D6" s="16">
        <f>ROUND(B6*Hypotheses!$C$7,0)</f>
        <v>14</v>
      </c>
      <c r="E6" s="16">
        <f t="shared" si="0"/>
        <v>288</v>
      </c>
      <c r="F6" s="17">
        <f>Hypotheses!$C$8</f>
        <v>0.15</v>
      </c>
      <c r="G6" s="16">
        <f t="shared" si="1"/>
        <v>43</v>
      </c>
      <c r="H6" s="18">
        <f>Hypotheses!$C$9</f>
        <v>5.99</v>
      </c>
      <c r="I6" s="18">
        <f t="shared" si="2"/>
        <v>257.57</v>
      </c>
      <c r="J6" s="18">
        <f t="shared" si="3"/>
        <v>0.8943402777777778</v>
      </c>
      <c r="K6" s="23">
        <f t="shared" si="8"/>
        <v>656.51624999999979</v>
      </c>
      <c r="L6" s="23">
        <f>L5*(1+Hypotheses!$C$12)</f>
        <v>37.131500000000003</v>
      </c>
      <c r="M6" s="23">
        <f t="shared" si="4"/>
        <v>10693.872000000001</v>
      </c>
      <c r="N6" s="23">
        <f>N5*(1+Hypotheses!$C$14)</f>
        <v>101.12400000000001</v>
      </c>
      <c r="O6" s="23">
        <f>E6*Hypotheses!$C$15</f>
        <v>51.839999999999996</v>
      </c>
      <c r="P6" s="23">
        <f>E6*Hypotheses!$C$16</f>
        <v>20.160000000000004</v>
      </c>
      <c r="Q6" s="23">
        <f>Hypotheses!$C$17</f>
        <v>45</v>
      </c>
      <c r="R6" s="23">
        <f>I6*Hypotheses!$C$18</f>
        <v>7.7270999999999992</v>
      </c>
      <c r="S6" s="23">
        <f t="shared" si="5"/>
        <v>225.8511</v>
      </c>
      <c r="T6" s="23">
        <f t="shared" si="6"/>
        <v>31.718899999999991</v>
      </c>
    </row>
    <row r="7" spans="1:20" ht="15">
      <c r="A7" s="16" t="s">
        <v>86</v>
      </c>
      <c r="B7" s="16">
        <f t="shared" si="7"/>
        <v>288</v>
      </c>
      <c r="C7" s="16">
        <f>ROUND(C6*(1+Hypotheses!$C$6),0)</f>
        <v>80</v>
      </c>
      <c r="D7" s="16">
        <f>ROUND(B7*Hypotheses!$C$7,0)</f>
        <v>17</v>
      </c>
      <c r="E7" s="16">
        <f t="shared" si="0"/>
        <v>351</v>
      </c>
      <c r="F7" s="17">
        <f>Hypotheses!$C$8</f>
        <v>0.15</v>
      </c>
      <c r="G7" s="16">
        <f t="shared" si="1"/>
        <v>53</v>
      </c>
      <c r="H7" s="18">
        <f>Hypotheses!$C$9</f>
        <v>5.99</v>
      </c>
      <c r="I7" s="18">
        <f t="shared" si="2"/>
        <v>317.47000000000003</v>
      </c>
      <c r="J7" s="18">
        <f t="shared" si="3"/>
        <v>0.90447293447293453</v>
      </c>
      <c r="K7" s="23">
        <f t="shared" si="8"/>
        <v>659.79883124999969</v>
      </c>
      <c r="L7" s="23">
        <f>L6*(1+Hypotheses!$C$12)</f>
        <v>38.245445000000004</v>
      </c>
      <c r="M7" s="23">
        <f t="shared" si="4"/>
        <v>13424.151195000002</v>
      </c>
      <c r="N7" s="23">
        <f>N6*(1+Hypotheses!$C$14)</f>
        <v>107.19144000000001</v>
      </c>
      <c r="O7" s="23">
        <f>E7*Hypotheses!$C$15</f>
        <v>63.18</v>
      </c>
      <c r="P7" s="23">
        <f>E7*Hypotheses!$C$16</f>
        <v>24.570000000000004</v>
      </c>
      <c r="Q7" s="23">
        <f>Hypotheses!$C$17</f>
        <v>45</v>
      </c>
      <c r="R7" s="23">
        <f>I7*Hypotheses!$C$18</f>
        <v>9.5241000000000007</v>
      </c>
      <c r="S7" s="23">
        <f t="shared" si="5"/>
        <v>249.46554</v>
      </c>
      <c r="T7" s="23">
        <f t="shared" si="6"/>
        <v>68.004460000000023</v>
      </c>
    </row>
    <row r="8" spans="1:20" ht="15">
      <c r="A8" s="16" t="s">
        <v>87</v>
      </c>
      <c r="B8" s="16">
        <f t="shared" si="7"/>
        <v>351</v>
      </c>
      <c r="C8" s="16">
        <f>ROUND(C7*(1+Hypotheses!$C$6),0)</f>
        <v>88</v>
      </c>
      <c r="D8" s="16">
        <f>ROUND(B8*Hypotheses!$C$7,0)</f>
        <v>21</v>
      </c>
      <c r="E8" s="16">
        <f t="shared" si="0"/>
        <v>418</v>
      </c>
      <c r="F8" s="17">
        <f>Hypotheses!$C$8</f>
        <v>0.15</v>
      </c>
      <c r="G8" s="16">
        <f t="shared" si="1"/>
        <v>63</v>
      </c>
      <c r="H8" s="18">
        <f>Hypotheses!$C$9</f>
        <v>5.99</v>
      </c>
      <c r="I8" s="18">
        <f t="shared" si="2"/>
        <v>377.37</v>
      </c>
      <c r="J8" s="18">
        <f t="shared" si="3"/>
        <v>0.90279904306220093</v>
      </c>
      <c r="K8" s="23">
        <f t="shared" si="8"/>
        <v>663.09782540624963</v>
      </c>
      <c r="L8" s="23">
        <f>L7*(1+Hypotheses!$C$12)</f>
        <v>39.392808350000003</v>
      </c>
      <c r="M8" s="23">
        <f t="shared" si="4"/>
        <v>16466.193890300001</v>
      </c>
      <c r="N8" s="23">
        <f>N7*(1+Hypotheses!$C$14)</f>
        <v>113.62292640000003</v>
      </c>
      <c r="O8" s="23">
        <f>E8*Hypotheses!$C$15</f>
        <v>75.239999999999995</v>
      </c>
      <c r="P8" s="23">
        <f>E8*Hypotheses!$C$16</f>
        <v>29.26</v>
      </c>
      <c r="Q8" s="23">
        <f>Hypotheses!$C$17</f>
        <v>45</v>
      </c>
      <c r="R8" s="23">
        <f>I8*Hypotheses!$C$18</f>
        <v>11.321099999999999</v>
      </c>
      <c r="S8" s="23">
        <f t="shared" si="5"/>
        <v>274.44402639999998</v>
      </c>
      <c r="T8" s="23">
        <f t="shared" si="6"/>
        <v>102.92597360000002</v>
      </c>
    </row>
    <row r="9" spans="1:20" ht="15">
      <c r="A9" s="16" t="s">
        <v>88</v>
      </c>
      <c r="B9" s="16">
        <f t="shared" si="7"/>
        <v>418</v>
      </c>
      <c r="C9" s="16">
        <f>ROUND(C8*(1+Hypotheses!$C$6),0)</f>
        <v>97</v>
      </c>
      <c r="D9" s="16">
        <f>ROUND(B9*Hypotheses!$C$7,0)</f>
        <v>25</v>
      </c>
      <c r="E9" s="16">
        <f t="shared" si="0"/>
        <v>490</v>
      </c>
      <c r="F9" s="17">
        <f>Hypotheses!$C$8</f>
        <v>0.15</v>
      </c>
      <c r="G9" s="16">
        <f t="shared" si="1"/>
        <v>74</v>
      </c>
      <c r="H9" s="18">
        <f>Hypotheses!$C$9</f>
        <v>5.99</v>
      </c>
      <c r="I9" s="18">
        <f t="shared" si="2"/>
        <v>443.26</v>
      </c>
      <c r="J9" s="18">
        <f t="shared" si="3"/>
        <v>0.90461224489795922</v>
      </c>
      <c r="K9" s="23">
        <f t="shared" si="8"/>
        <v>666.41331453328075</v>
      </c>
      <c r="L9" s="23">
        <f>L8*(1+Hypotheses!$C$12)</f>
        <v>40.574592600500004</v>
      </c>
      <c r="M9" s="23">
        <f t="shared" si="4"/>
        <v>19881.550374245002</v>
      </c>
      <c r="N9" s="23">
        <f>N8*(1+Hypotheses!$C$14)</f>
        <v>120.44030198400003</v>
      </c>
      <c r="O9" s="23">
        <f>E9*Hypotheses!$C$15</f>
        <v>88.2</v>
      </c>
      <c r="P9" s="23">
        <f>E9*Hypotheses!$C$16</f>
        <v>34.300000000000004</v>
      </c>
      <c r="Q9" s="23">
        <f>Hypotheses!$C$17</f>
        <v>45</v>
      </c>
      <c r="R9" s="23">
        <f>I9*Hypotheses!$C$18</f>
        <v>13.297799999999999</v>
      </c>
      <c r="S9" s="23">
        <f t="shared" si="5"/>
        <v>301.23810198400002</v>
      </c>
      <c r="T9" s="23">
        <f t="shared" si="6"/>
        <v>142.02189801599997</v>
      </c>
    </row>
    <row r="10" spans="1:20" ht="15">
      <c r="A10" s="16" t="s">
        <v>89</v>
      </c>
      <c r="B10" s="16">
        <f t="shared" si="7"/>
        <v>490</v>
      </c>
      <c r="C10" s="16">
        <f>ROUND(C9*(1+Hypotheses!$C$6),0)</f>
        <v>107</v>
      </c>
      <c r="D10" s="16">
        <f>ROUND(B10*Hypotheses!$C$7,0)</f>
        <v>29</v>
      </c>
      <c r="E10" s="16">
        <f t="shared" si="0"/>
        <v>568</v>
      </c>
      <c r="F10" s="17">
        <f>Hypotheses!$C$8</f>
        <v>0.15</v>
      </c>
      <c r="G10" s="16">
        <f t="shared" si="1"/>
        <v>85</v>
      </c>
      <c r="H10" s="18">
        <f>Hypotheses!$C$9</f>
        <v>5.99</v>
      </c>
      <c r="I10" s="18">
        <f t="shared" si="2"/>
        <v>509.15000000000003</v>
      </c>
      <c r="J10" s="18">
        <f t="shared" si="3"/>
        <v>0.89639084507042255</v>
      </c>
      <c r="K10" s="23">
        <f t="shared" si="8"/>
        <v>669.7453811059471</v>
      </c>
      <c r="L10" s="23">
        <f>L9*(1+Hypotheses!$C$12)</f>
        <v>41.791830378515009</v>
      </c>
      <c r="M10" s="23">
        <f t="shared" si="4"/>
        <v>23737.759654996524</v>
      </c>
      <c r="N10" s="23">
        <f>N9*(1+Hypotheses!$C$14)</f>
        <v>127.66672010304003</v>
      </c>
      <c r="O10" s="23">
        <f>E10*Hypotheses!$C$15</f>
        <v>102.24</v>
      </c>
      <c r="P10" s="23">
        <f>E10*Hypotheses!$C$16</f>
        <v>39.760000000000005</v>
      </c>
      <c r="Q10" s="23">
        <f>Hypotheses!$C$17</f>
        <v>45</v>
      </c>
      <c r="R10" s="23">
        <f>I10*Hypotheses!$C$18</f>
        <v>15.2745</v>
      </c>
      <c r="S10" s="23">
        <f t="shared" si="5"/>
        <v>329.94122010304</v>
      </c>
      <c r="T10" s="23">
        <f t="shared" si="6"/>
        <v>179.20877989696004</v>
      </c>
    </row>
    <row r="11" spans="1:20" ht="15">
      <c r="A11" s="16" t="s">
        <v>90</v>
      </c>
      <c r="B11" s="16">
        <f t="shared" si="7"/>
        <v>568</v>
      </c>
      <c r="C11" s="16">
        <f>ROUND(C10*(1+Hypotheses!$C$6),0)</f>
        <v>118</v>
      </c>
      <c r="D11" s="16">
        <f>ROUND(B11*Hypotheses!$C$7,0)</f>
        <v>34</v>
      </c>
      <c r="E11" s="16">
        <f t="shared" si="0"/>
        <v>652</v>
      </c>
      <c r="F11" s="17">
        <f>Hypotheses!$C$8</f>
        <v>0.15</v>
      </c>
      <c r="G11" s="16">
        <f t="shared" si="1"/>
        <v>98</v>
      </c>
      <c r="H11" s="18">
        <f>Hypotheses!$C$9</f>
        <v>5.99</v>
      </c>
      <c r="I11" s="18">
        <f t="shared" si="2"/>
        <v>587.02</v>
      </c>
      <c r="J11" s="18">
        <f t="shared" si="3"/>
        <v>0.90033742331288336</v>
      </c>
      <c r="K11" s="23">
        <f t="shared" si="8"/>
        <v>673.09410801147681</v>
      </c>
      <c r="L11" s="23">
        <f>L10*(1+Hypotheses!$C$12)</f>
        <v>43.045585289870459</v>
      </c>
      <c r="M11" s="23">
        <f t="shared" si="4"/>
        <v>28065.72160899554</v>
      </c>
      <c r="N11" s="23">
        <f>N10*(1+Hypotheses!$C$14)</f>
        <v>135.32672330922244</v>
      </c>
      <c r="O11" s="23">
        <f>E11*Hypotheses!$C$15</f>
        <v>117.36</v>
      </c>
      <c r="P11" s="23">
        <f>E11*Hypotheses!$C$16</f>
        <v>45.640000000000008</v>
      </c>
      <c r="Q11" s="23">
        <f>Hypotheses!$C$17</f>
        <v>45</v>
      </c>
      <c r="R11" s="23">
        <f>I11*Hypotheses!$C$18</f>
        <v>17.610599999999998</v>
      </c>
      <c r="S11" s="23">
        <f t="shared" si="5"/>
        <v>360.93732330922239</v>
      </c>
      <c r="T11" s="23">
        <f t="shared" si="6"/>
        <v>226.08267669077759</v>
      </c>
    </row>
    <row r="12" spans="1:20" ht="15">
      <c r="A12" s="16" t="s">
        <v>91</v>
      </c>
      <c r="B12" s="16">
        <f t="shared" si="7"/>
        <v>652</v>
      </c>
      <c r="C12" s="16">
        <f>ROUND(C11*(1+Hypotheses!$C$6),0)</f>
        <v>130</v>
      </c>
      <c r="D12" s="16">
        <f>ROUND(B12*Hypotheses!$C$7,0)</f>
        <v>39</v>
      </c>
      <c r="E12" s="16">
        <f t="shared" si="0"/>
        <v>743</v>
      </c>
      <c r="F12" s="17">
        <f>Hypotheses!$C$8</f>
        <v>0.15</v>
      </c>
      <c r="G12" s="16">
        <f t="shared" si="1"/>
        <v>111</v>
      </c>
      <c r="H12" s="18">
        <f>Hypotheses!$C$9</f>
        <v>5.99</v>
      </c>
      <c r="I12" s="18">
        <f t="shared" si="2"/>
        <v>664.89</v>
      </c>
      <c r="J12" s="18">
        <f t="shared" si="3"/>
        <v>0.89487213997308213</v>
      </c>
      <c r="K12" s="23">
        <f t="shared" si="8"/>
        <v>676.45957855153415</v>
      </c>
      <c r="L12" s="23">
        <f>L11*(1+Hypotheses!$C$12)</f>
        <v>44.336952848566575</v>
      </c>
      <c r="M12" s="23">
        <f t="shared" si="4"/>
        <v>32942.355966484967</v>
      </c>
      <c r="N12" s="23">
        <f>N11*(1+Hypotheses!$C$14)</f>
        <v>143.4463267077758</v>
      </c>
      <c r="O12" s="23">
        <f>E12*Hypotheses!$C$15</f>
        <v>133.74</v>
      </c>
      <c r="P12" s="23">
        <f>E12*Hypotheses!$C$16</f>
        <v>52.010000000000005</v>
      </c>
      <c r="Q12" s="23">
        <f>Hypotheses!$C$17</f>
        <v>45</v>
      </c>
      <c r="R12" s="23">
        <f>I12*Hypotheses!$C$18</f>
        <v>19.9467</v>
      </c>
      <c r="S12" s="23">
        <f t="shared" si="5"/>
        <v>394.14302670777585</v>
      </c>
      <c r="T12" s="23">
        <f t="shared" si="6"/>
        <v>270.74697329222414</v>
      </c>
    </row>
    <row r="13" spans="1:20" ht="15">
      <c r="A13" s="16" t="s">
        <v>92</v>
      </c>
      <c r="B13" s="16">
        <f t="shared" si="7"/>
        <v>743</v>
      </c>
      <c r="C13" s="16">
        <f>ROUND(C12*(1+Hypotheses!$C$6),0)</f>
        <v>143</v>
      </c>
      <c r="D13" s="16">
        <f>ROUND(B13*Hypotheses!$C$7,0)</f>
        <v>45</v>
      </c>
      <c r="E13" s="16">
        <f t="shared" si="0"/>
        <v>841</v>
      </c>
      <c r="F13" s="17">
        <f>Hypotheses!$C$8</f>
        <v>0.15</v>
      </c>
      <c r="G13" s="16">
        <f t="shared" si="1"/>
        <v>126</v>
      </c>
      <c r="H13" s="18">
        <f>Hypotheses!$C$9</f>
        <v>5.99</v>
      </c>
      <c r="I13" s="18">
        <f t="shared" si="2"/>
        <v>754.74</v>
      </c>
      <c r="J13" s="18">
        <f t="shared" si="3"/>
        <v>0.89743162901307971</v>
      </c>
      <c r="K13" s="23">
        <f t="shared" si="8"/>
        <v>679.84187644429176</v>
      </c>
      <c r="L13" s="23">
        <f>L12*(1+Hypotheses!$C$12)</f>
        <v>45.667061434023573</v>
      </c>
      <c r="M13" s="23">
        <f t="shared" si="4"/>
        <v>38405.998666013824</v>
      </c>
      <c r="N13" s="23">
        <f>N12*(1+Hypotheses!$C$14)</f>
        <v>152.05310631024236</v>
      </c>
      <c r="O13" s="23">
        <f>E13*Hypotheses!$C$15</f>
        <v>151.38</v>
      </c>
      <c r="P13" s="23">
        <f>E13*Hypotheses!$C$16</f>
        <v>58.870000000000005</v>
      </c>
      <c r="Q13" s="23">
        <f>Hypotheses!$C$17</f>
        <v>45</v>
      </c>
      <c r="R13" s="23">
        <f>I13*Hypotheses!$C$18</f>
        <v>22.642199999999999</v>
      </c>
      <c r="S13" s="23">
        <f t="shared" si="5"/>
        <v>429.94530631024236</v>
      </c>
      <c r="T13" s="23">
        <f t="shared" si="6"/>
        <v>324.79469368975765</v>
      </c>
    </row>
    <row r="14" spans="1:20" ht="15">
      <c r="A14" s="16" t="s">
        <v>93</v>
      </c>
      <c r="B14" s="16">
        <f t="shared" si="7"/>
        <v>841</v>
      </c>
      <c r="C14" s="16">
        <f>ROUND(C13*(1+Hypotheses!$C$6),0)</f>
        <v>157</v>
      </c>
      <c r="D14" s="16">
        <f>ROUND(B14*Hypotheses!$C$7,0)</f>
        <v>50</v>
      </c>
      <c r="E14" s="16">
        <f t="shared" si="0"/>
        <v>948</v>
      </c>
      <c r="F14" s="17">
        <f>Hypotheses!$C$8</f>
        <v>0.15</v>
      </c>
      <c r="G14" s="16">
        <f t="shared" si="1"/>
        <v>142</v>
      </c>
      <c r="H14" s="18">
        <f>Hypotheses!$C$9</f>
        <v>5.99</v>
      </c>
      <c r="I14" s="18">
        <f t="shared" si="2"/>
        <v>850.58</v>
      </c>
      <c r="J14" s="18">
        <f t="shared" si="3"/>
        <v>0.89723628691983126</v>
      </c>
      <c r="K14" s="23">
        <f t="shared" si="8"/>
        <v>683.2410858265132</v>
      </c>
      <c r="L14" s="23">
        <f>L13*(1+Hypotheses!$C$12)</f>
        <v>47.037073277044279</v>
      </c>
      <c r="M14" s="23">
        <f t="shared" si="4"/>
        <v>44591.14546663798</v>
      </c>
      <c r="N14" s="23">
        <f>N13*(1+Hypotheses!$C$14)</f>
        <v>161.1762926888569</v>
      </c>
      <c r="O14" s="23">
        <f>E14*Hypotheses!$C$15</f>
        <v>170.64</v>
      </c>
      <c r="P14" s="23">
        <f>E14*Hypotheses!$C$16</f>
        <v>66.36</v>
      </c>
      <c r="Q14" s="23">
        <f>Hypotheses!$C$17</f>
        <v>45</v>
      </c>
      <c r="R14" s="23">
        <f>I14*Hypotheses!$C$18</f>
        <v>25.517399999999999</v>
      </c>
      <c r="S14" s="23">
        <f t="shared" si="5"/>
        <v>468.69369268885691</v>
      </c>
      <c r="T14" s="23">
        <f t="shared" si="6"/>
        <v>381.88630731114313</v>
      </c>
    </row>
    <row r="15" spans="1:20" ht="15">
      <c r="A15" s="16" t="s">
        <v>94</v>
      </c>
      <c r="B15" s="16">
        <f t="shared" si="7"/>
        <v>948</v>
      </c>
      <c r="C15" s="16">
        <f>ROUND(C14*(1+Hypotheses!$C$6),0)</f>
        <v>173</v>
      </c>
      <c r="D15" s="16">
        <f>ROUND(B15*Hypotheses!$C$7,0)</f>
        <v>57</v>
      </c>
      <c r="E15" s="16">
        <f t="shared" si="0"/>
        <v>1064</v>
      </c>
      <c r="F15" s="17">
        <f>Hypotheses!$C$8</f>
        <v>0.15</v>
      </c>
      <c r="G15" s="16">
        <f t="shared" si="1"/>
        <v>160</v>
      </c>
      <c r="H15" s="18">
        <f>Hypotheses!$C$9</f>
        <v>5.99</v>
      </c>
      <c r="I15" s="18">
        <f t="shared" si="2"/>
        <v>958.40000000000009</v>
      </c>
      <c r="J15" s="18">
        <f t="shared" si="3"/>
        <v>0.90075187969924819</v>
      </c>
      <c r="K15" s="23">
        <f t="shared" si="8"/>
        <v>686.65729125564565</v>
      </c>
      <c r="L15" s="23">
        <f>L14*(1+Hypotheses!$C$12)</f>
        <v>48.448185475355608</v>
      </c>
      <c r="M15" s="23">
        <f t="shared" si="4"/>
        <v>51548.869345778367</v>
      </c>
      <c r="N15" s="23">
        <f>N14*(1+Hypotheses!$C$14)</f>
        <v>170.84687025018832</v>
      </c>
      <c r="O15" s="23">
        <f>E15*Hypotheses!$C$15</f>
        <v>191.51999999999998</v>
      </c>
      <c r="P15" s="23">
        <f>E15*Hypotheses!$C$16</f>
        <v>74.48</v>
      </c>
      <c r="Q15" s="23">
        <f>Hypotheses!$C$17</f>
        <v>45</v>
      </c>
      <c r="R15" s="23">
        <f>I15*Hypotheses!$C$18</f>
        <v>28.752000000000002</v>
      </c>
      <c r="S15" s="23">
        <f t="shared" si="5"/>
        <v>510.59887025018833</v>
      </c>
      <c r="T15" s="23">
        <f t="shared" si="6"/>
        <v>447.80112974981176</v>
      </c>
    </row>
    <row r="16" spans="1:20">
      <c r="A16" s="2"/>
      <c r="B16" s="2"/>
      <c r="C16" s="2"/>
      <c r="D16" s="2"/>
      <c r="E16" s="2"/>
      <c r="F16" s="3"/>
      <c r="G16" s="2"/>
      <c r="H16" s="4"/>
      <c r="I16" s="4"/>
      <c r="J16" s="4"/>
      <c r="K16" s="26"/>
      <c r="L16" s="26"/>
      <c r="M16" s="26"/>
      <c r="N16" s="26"/>
      <c r="O16" s="26"/>
      <c r="P16" s="26"/>
      <c r="Q16" s="26"/>
      <c r="R16" s="26"/>
      <c r="S16" s="26"/>
      <c r="T16" s="26"/>
    </row>
    <row r="17" spans="1:20" ht="31.5">
      <c r="A17" s="5" t="s">
        <v>95</v>
      </c>
      <c r="B17" s="5"/>
      <c r="C17" s="5">
        <f>SUM(C4:C15)</f>
        <v>1292</v>
      </c>
      <c r="D17" s="5">
        <f>SUM(D4:D15)</f>
        <v>348</v>
      </c>
      <c r="E17" s="5"/>
      <c r="F17" s="6"/>
      <c r="G17" s="5"/>
      <c r="H17" s="7"/>
      <c r="I17" s="7">
        <f>SUM(I4:I15)</f>
        <v>6079.85</v>
      </c>
      <c r="J17" s="7">
        <f>AVERAGE(J4:J15)</f>
        <v>0.89856840801984916</v>
      </c>
      <c r="K17" s="27">
        <f>AVERAGE(K4:K15)</f>
        <v>668.17629519874492</v>
      </c>
      <c r="L17" s="27">
        <f>AVERAGE(L4:L15)</f>
        <v>41.393419554489633</v>
      </c>
      <c r="M17" s="27">
        <f t="shared" ref="M17:T17" si="9">SUM(M4:M15)</f>
        <v>294068.06816845218</v>
      </c>
      <c r="N17" s="27">
        <f t="shared" si="9"/>
        <v>1518.2947077533258</v>
      </c>
      <c r="O17" s="27">
        <f t="shared" si="9"/>
        <v>1217.6999999999998</v>
      </c>
      <c r="P17" s="27">
        <f t="shared" si="9"/>
        <v>473.55000000000007</v>
      </c>
      <c r="Q17" s="27">
        <f t="shared" si="9"/>
        <v>540</v>
      </c>
      <c r="R17" s="27">
        <f t="shared" si="9"/>
        <v>182.39550000000003</v>
      </c>
      <c r="S17" s="27">
        <f t="shared" si="9"/>
        <v>3931.9402077533259</v>
      </c>
      <c r="T17" s="27">
        <f t="shared" si="9"/>
        <v>2147.9097922466744</v>
      </c>
    </row>
  </sheetData>
  <mergeCells count="1">
    <mergeCell ref="A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selection activeCell="C14" sqref="C14"/>
    </sheetView>
  </sheetViews>
  <sheetFormatPr baseColWidth="10" defaultColWidth="9" defaultRowHeight="14.25"/>
  <cols>
    <col min="1" max="1" width="24" customWidth="1"/>
    <col min="2" max="2" width="34" customWidth="1"/>
    <col min="3" max="3" width="14" customWidth="1"/>
    <col min="4" max="5" width="28" customWidth="1"/>
    <col min="6" max="6" width="38" customWidth="1"/>
  </cols>
  <sheetData>
    <row r="1" spans="1:6" ht="20.25">
      <c r="A1" s="8" t="s">
        <v>96</v>
      </c>
      <c r="B1" s="8"/>
      <c r="C1" s="8"/>
      <c r="D1" s="8"/>
      <c r="E1" s="8"/>
      <c r="F1" s="8"/>
    </row>
    <row r="3" spans="1:6" ht="15.75">
      <c r="A3" s="1" t="s">
        <v>97</v>
      </c>
      <c r="B3" s="1" t="s">
        <v>98</v>
      </c>
      <c r="C3" s="1" t="s">
        <v>16</v>
      </c>
      <c r="D3" s="1" t="s">
        <v>99</v>
      </c>
      <c r="E3" s="1" t="s">
        <v>100</v>
      </c>
      <c r="F3" s="1" t="s">
        <v>19</v>
      </c>
    </row>
    <row r="4" spans="1:6" ht="30">
      <c r="A4" s="22" t="s">
        <v>101</v>
      </c>
      <c r="B4" s="22" t="s">
        <v>71</v>
      </c>
      <c r="C4" s="23">
        <f>Hypotheses!$C$9</f>
        <v>5.99</v>
      </c>
      <c r="D4" s="22" t="s">
        <v>102</v>
      </c>
      <c r="E4" s="22" t="s">
        <v>103</v>
      </c>
      <c r="F4" s="22" t="s">
        <v>6</v>
      </c>
    </row>
    <row r="5" spans="1:6" ht="30">
      <c r="A5" s="22" t="s">
        <v>104</v>
      </c>
      <c r="B5" s="22" t="s">
        <v>105</v>
      </c>
      <c r="C5" s="23">
        <f>((Hypotheses!$C$15+Hypotheses!$C$16)/Hypotheses!$C$8)+(Hypotheses!$C$9*Hypotheses!$C$18)</f>
        <v>1.8463666666666667</v>
      </c>
      <c r="D5" s="22" t="s">
        <v>106</v>
      </c>
      <c r="E5" s="22" t="s">
        <v>107</v>
      </c>
      <c r="F5" s="22"/>
    </row>
    <row r="6" spans="1:6" ht="15">
      <c r="A6" s="22" t="s">
        <v>108</v>
      </c>
      <c r="B6" s="22" t="s">
        <v>109</v>
      </c>
      <c r="C6" s="23">
        <f>C4-C5</f>
        <v>4.1436333333333337</v>
      </c>
      <c r="D6" s="22" t="s">
        <v>110</v>
      </c>
      <c r="E6" s="22" t="s">
        <v>111</v>
      </c>
      <c r="F6" s="22"/>
    </row>
    <row r="7" spans="1:6" ht="30">
      <c r="A7" s="22" t="s">
        <v>112</v>
      </c>
      <c r="B7" s="22" t="s">
        <v>113</v>
      </c>
      <c r="C7" s="24">
        <f>C6/C4</f>
        <v>0.69175848636616588</v>
      </c>
      <c r="D7" s="22" t="s">
        <v>114</v>
      </c>
      <c r="E7" s="22" t="s">
        <v>115</v>
      </c>
      <c r="F7" s="22"/>
    </row>
    <row r="8" spans="1:6" ht="15">
      <c r="A8" s="22" t="s">
        <v>116</v>
      </c>
      <c r="B8" s="22" t="s">
        <v>117</v>
      </c>
      <c r="C8" s="25">
        <f>1/Hypotheses!$C$7</f>
        <v>16.666666666666668</v>
      </c>
      <c r="D8" s="22" t="s">
        <v>118</v>
      </c>
      <c r="E8" s="22" t="s">
        <v>119</v>
      </c>
      <c r="F8" s="22"/>
    </row>
    <row r="9" spans="1:6" ht="15">
      <c r="A9" s="22" t="s">
        <v>120</v>
      </c>
      <c r="B9" s="22" t="s">
        <v>121</v>
      </c>
      <c r="C9" s="25">
        <f>C6*C8</f>
        <v>69.060555555555567</v>
      </c>
      <c r="D9" s="22" t="s">
        <v>122</v>
      </c>
      <c r="E9" s="22" t="s">
        <v>123</v>
      </c>
      <c r="F9" s="22"/>
    </row>
    <row r="10" spans="1:6" ht="30">
      <c r="A10" s="22" t="s">
        <v>124</v>
      </c>
      <c r="B10" s="22" t="s">
        <v>125</v>
      </c>
      <c r="C10" s="25">
        <f>Previsions_12M!N17/SUM(Previsions_12M!G4:G15)</f>
        <v>1.4958568549293851</v>
      </c>
      <c r="D10" s="22" t="s">
        <v>126</v>
      </c>
      <c r="E10" s="22" t="s">
        <v>127</v>
      </c>
      <c r="F10" s="22"/>
    </row>
    <row r="11" spans="1:6" ht="30">
      <c r="A11" s="22" t="s">
        <v>128</v>
      </c>
      <c r="B11" s="22" t="s">
        <v>129</v>
      </c>
      <c r="C11" s="25">
        <f>C9/C10</f>
        <v>46.167890549136608</v>
      </c>
      <c r="D11" s="22" t="s">
        <v>130</v>
      </c>
      <c r="E11" s="22" t="s">
        <v>131</v>
      </c>
      <c r="F11" s="22"/>
    </row>
    <row r="12" spans="1:6" ht="30">
      <c r="A12" s="22" t="s">
        <v>132</v>
      </c>
      <c r="B12" s="22" t="s">
        <v>133</v>
      </c>
      <c r="C12" s="25">
        <f>C10/C6</f>
        <v>0.36100126014915696</v>
      </c>
      <c r="D12" s="22" t="s">
        <v>134</v>
      </c>
      <c r="E12" s="22" t="s">
        <v>135</v>
      </c>
      <c r="F12" s="22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workbookViewId="0">
      <selection activeCell="G18" sqref="G18"/>
    </sheetView>
  </sheetViews>
  <sheetFormatPr baseColWidth="10" defaultColWidth="9" defaultRowHeight="14.25"/>
  <cols>
    <col min="1" max="1" width="14" customWidth="1"/>
    <col min="2" max="2" width="18" customWidth="1"/>
    <col min="3" max="4" width="16" customWidth="1"/>
    <col min="5" max="5" width="18" customWidth="1"/>
    <col min="6" max="8" width="14" customWidth="1"/>
  </cols>
  <sheetData>
    <row r="1" spans="1:8" ht="20.25">
      <c r="A1" s="8" t="s">
        <v>136</v>
      </c>
      <c r="B1" s="8"/>
      <c r="C1" s="8"/>
      <c r="D1" s="8"/>
      <c r="E1" s="8"/>
      <c r="F1" s="8"/>
      <c r="G1" s="8"/>
      <c r="H1" s="8"/>
    </row>
    <row r="3" spans="1:8" ht="31.5">
      <c r="A3" s="1" t="s">
        <v>64</v>
      </c>
      <c r="B3" s="1" t="s">
        <v>137</v>
      </c>
      <c r="C3" s="1" t="s">
        <v>70</v>
      </c>
      <c r="D3" s="1" t="s">
        <v>138</v>
      </c>
      <c r="E3" s="1" t="s">
        <v>139</v>
      </c>
      <c r="F3" s="1" t="s">
        <v>47</v>
      </c>
      <c r="G3" s="1" t="s">
        <v>81</v>
      </c>
      <c r="H3" s="1" t="s">
        <v>140</v>
      </c>
    </row>
    <row r="4" spans="1:8" ht="15">
      <c r="A4" s="20" t="str">
        <f>Previsions_12M!A4</f>
        <v>Janvier</v>
      </c>
      <c r="B4" s="20">
        <f>Previsions_12M!E4</f>
        <v>173</v>
      </c>
      <c r="C4" s="20">
        <f>Previsions_12M!G4</f>
        <v>26</v>
      </c>
      <c r="D4" s="21">
        <f>Previsions_12M!I4</f>
        <v>155.74</v>
      </c>
      <c r="E4" s="21">
        <f>Previsions_12M!M4</f>
        <v>6055</v>
      </c>
      <c r="F4" s="21">
        <f>Previsions_12M!N4</f>
        <v>90</v>
      </c>
      <c r="G4" s="21">
        <f>Previsions_12M!S4</f>
        <v>182.9222</v>
      </c>
      <c r="H4" s="21">
        <f>Previsions_12M!T4</f>
        <v>-27.182199999999995</v>
      </c>
    </row>
    <row r="5" spans="1:8" ht="15">
      <c r="A5" s="20" t="str">
        <f>Previsions_12M!A5</f>
        <v>Février</v>
      </c>
      <c r="B5" s="20">
        <f>Previsions_12M!E5</f>
        <v>229</v>
      </c>
      <c r="C5" s="20">
        <f>Previsions_12M!G5</f>
        <v>34</v>
      </c>
      <c r="D5" s="21">
        <f>Previsions_12M!I5</f>
        <v>203.66</v>
      </c>
      <c r="E5" s="21">
        <f>Previsions_12M!M5</f>
        <v>8255.4500000000007</v>
      </c>
      <c r="F5" s="21">
        <f>Previsions_12M!N5</f>
        <v>95.4</v>
      </c>
      <c r="G5" s="21">
        <f>Previsions_12M!S5</f>
        <v>203.75980000000001</v>
      </c>
      <c r="H5" s="21">
        <f>Previsions_12M!T5</f>
        <v>-9.9800000000016098E-2</v>
      </c>
    </row>
    <row r="6" spans="1:8" ht="15">
      <c r="A6" s="20" t="str">
        <f>Previsions_12M!A6</f>
        <v>Mars</v>
      </c>
      <c r="B6" s="20">
        <f>Previsions_12M!E6</f>
        <v>288</v>
      </c>
      <c r="C6" s="20">
        <f>Previsions_12M!G6</f>
        <v>43</v>
      </c>
      <c r="D6" s="21">
        <f>Previsions_12M!I6</f>
        <v>257.57</v>
      </c>
      <c r="E6" s="21">
        <f>Previsions_12M!M6</f>
        <v>10693.872000000001</v>
      </c>
      <c r="F6" s="21">
        <f>Previsions_12M!N6</f>
        <v>101.12400000000001</v>
      </c>
      <c r="G6" s="21">
        <f>Previsions_12M!S6</f>
        <v>225.8511</v>
      </c>
      <c r="H6" s="21">
        <f>Previsions_12M!T6</f>
        <v>31.718899999999991</v>
      </c>
    </row>
    <row r="7" spans="1:8" ht="15">
      <c r="A7" s="20" t="str">
        <f>Previsions_12M!A7</f>
        <v>Avril</v>
      </c>
      <c r="B7" s="20">
        <f>Previsions_12M!E7</f>
        <v>351</v>
      </c>
      <c r="C7" s="20">
        <f>Previsions_12M!G7</f>
        <v>53</v>
      </c>
      <c r="D7" s="21">
        <f>Previsions_12M!I7</f>
        <v>317.47000000000003</v>
      </c>
      <c r="E7" s="21">
        <f>Previsions_12M!M7</f>
        <v>13424.151195000002</v>
      </c>
      <c r="F7" s="21">
        <f>Previsions_12M!N7</f>
        <v>107.19144000000001</v>
      </c>
      <c r="G7" s="21">
        <f>Previsions_12M!S7</f>
        <v>249.46554</v>
      </c>
      <c r="H7" s="21">
        <f>Previsions_12M!T7</f>
        <v>68.004460000000023</v>
      </c>
    </row>
    <row r="8" spans="1:8" ht="15">
      <c r="A8" s="20" t="str">
        <f>Previsions_12M!A8</f>
        <v>Mai</v>
      </c>
      <c r="B8" s="20">
        <f>Previsions_12M!E8</f>
        <v>418</v>
      </c>
      <c r="C8" s="20">
        <f>Previsions_12M!G8</f>
        <v>63</v>
      </c>
      <c r="D8" s="21">
        <f>Previsions_12M!I8</f>
        <v>377.37</v>
      </c>
      <c r="E8" s="21">
        <f>Previsions_12M!M8</f>
        <v>16466.193890300001</v>
      </c>
      <c r="F8" s="21">
        <f>Previsions_12M!N8</f>
        <v>113.62292640000003</v>
      </c>
      <c r="G8" s="21">
        <f>Previsions_12M!S8</f>
        <v>274.44402639999998</v>
      </c>
      <c r="H8" s="21">
        <f>Previsions_12M!T8</f>
        <v>102.92597360000002</v>
      </c>
    </row>
    <row r="9" spans="1:8" ht="15">
      <c r="A9" s="20" t="str">
        <f>Previsions_12M!A9</f>
        <v>Juin</v>
      </c>
      <c r="B9" s="20">
        <f>Previsions_12M!E9</f>
        <v>490</v>
      </c>
      <c r="C9" s="20">
        <f>Previsions_12M!G9</f>
        <v>74</v>
      </c>
      <c r="D9" s="21">
        <f>Previsions_12M!I9</f>
        <v>443.26</v>
      </c>
      <c r="E9" s="21">
        <f>Previsions_12M!M9</f>
        <v>19881.550374245002</v>
      </c>
      <c r="F9" s="21">
        <f>Previsions_12M!N9</f>
        <v>120.44030198400003</v>
      </c>
      <c r="G9" s="21">
        <f>Previsions_12M!S9</f>
        <v>301.23810198400002</v>
      </c>
      <c r="H9" s="21">
        <f>Previsions_12M!T9</f>
        <v>142.02189801599997</v>
      </c>
    </row>
    <row r="10" spans="1:8" ht="15">
      <c r="A10" s="20" t="str">
        <f>Previsions_12M!A10</f>
        <v>Juillet</v>
      </c>
      <c r="B10" s="20">
        <f>Previsions_12M!E10</f>
        <v>568</v>
      </c>
      <c r="C10" s="20">
        <f>Previsions_12M!G10</f>
        <v>85</v>
      </c>
      <c r="D10" s="21">
        <f>Previsions_12M!I10</f>
        <v>509.15000000000003</v>
      </c>
      <c r="E10" s="21">
        <f>Previsions_12M!M10</f>
        <v>23737.759654996524</v>
      </c>
      <c r="F10" s="21">
        <f>Previsions_12M!N10</f>
        <v>127.66672010304003</v>
      </c>
      <c r="G10" s="21">
        <f>Previsions_12M!S10</f>
        <v>329.94122010304</v>
      </c>
      <c r="H10" s="21">
        <f>Previsions_12M!T10</f>
        <v>179.20877989696004</v>
      </c>
    </row>
    <row r="11" spans="1:8" ht="15">
      <c r="A11" s="20" t="str">
        <f>Previsions_12M!A11</f>
        <v>Août</v>
      </c>
      <c r="B11" s="20">
        <f>Previsions_12M!E11</f>
        <v>652</v>
      </c>
      <c r="C11" s="20">
        <f>Previsions_12M!G11</f>
        <v>98</v>
      </c>
      <c r="D11" s="21">
        <f>Previsions_12M!I11</f>
        <v>587.02</v>
      </c>
      <c r="E11" s="21">
        <f>Previsions_12M!M11</f>
        <v>28065.72160899554</v>
      </c>
      <c r="F11" s="21">
        <f>Previsions_12M!N11</f>
        <v>135.32672330922244</v>
      </c>
      <c r="G11" s="21">
        <f>Previsions_12M!S11</f>
        <v>360.93732330922239</v>
      </c>
      <c r="H11" s="21">
        <f>Previsions_12M!T11</f>
        <v>226.08267669077759</v>
      </c>
    </row>
    <row r="12" spans="1:8" ht="15">
      <c r="A12" s="20" t="str">
        <f>Previsions_12M!A12</f>
        <v>Septembre</v>
      </c>
      <c r="B12" s="20">
        <f>Previsions_12M!E12</f>
        <v>743</v>
      </c>
      <c r="C12" s="20">
        <f>Previsions_12M!G12</f>
        <v>111</v>
      </c>
      <c r="D12" s="21">
        <f>Previsions_12M!I12</f>
        <v>664.89</v>
      </c>
      <c r="E12" s="21">
        <f>Previsions_12M!M12</f>
        <v>32942.355966484967</v>
      </c>
      <c r="F12" s="21">
        <f>Previsions_12M!N12</f>
        <v>143.4463267077758</v>
      </c>
      <c r="G12" s="21">
        <f>Previsions_12M!S12</f>
        <v>394.14302670777585</v>
      </c>
      <c r="H12" s="21">
        <f>Previsions_12M!T12</f>
        <v>270.74697329222414</v>
      </c>
    </row>
    <row r="13" spans="1:8" ht="15">
      <c r="A13" s="20" t="str">
        <f>Previsions_12M!A13</f>
        <v>Octobre</v>
      </c>
      <c r="B13" s="20">
        <f>Previsions_12M!E13</f>
        <v>841</v>
      </c>
      <c r="C13" s="20">
        <f>Previsions_12M!G13</f>
        <v>126</v>
      </c>
      <c r="D13" s="21">
        <f>Previsions_12M!I13</f>
        <v>754.74</v>
      </c>
      <c r="E13" s="21">
        <f>Previsions_12M!M13</f>
        <v>38405.998666013824</v>
      </c>
      <c r="F13" s="21">
        <f>Previsions_12M!N13</f>
        <v>152.05310631024236</v>
      </c>
      <c r="G13" s="21">
        <f>Previsions_12M!S13</f>
        <v>429.94530631024236</v>
      </c>
      <c r="H13" s="21">
        <f>Previsions_12M!T13</f>
        <v>324.79469368975765</v>
      </c>
    </row>
    <row r="14" spans="1:8" ht="15">
      <c r="A14" s="20" t="str">
        <f>Previsions_12M!A14</f>
        <v>Novembre</v>
      </c>
      <c r="B14" s="20">
        <f>Previsions_12M!E14</f>
        <v>948</v>
      </c>
      <c r="C14" s="20">
        <f>Previsions_12M!G14</f>
        <v>142</v>
      </c>
      <c r="D14" s="21">
        <f>Previsions_12M!I14</f>
        <v>850.58</v>
      </c>
      <c r="E14" s="21">
        <f>Previsions_12M!M14</f>
        <v>44591.14546663798</v>
      </c>
      <c r="F14" s="21">
        <f>Previsions_12M!N14</f>
        <v>161.1762926888569</v>
      </c>
      <c r="G14" s="21">
        <f>Previsions_12M!S14</f>
        <v>468.69369268885691</v>
      </c>
      <c r="H14" s="21">
        <f>Previsions_12M!T14</f>
        <v>381.88630731114313</v>
      </c>
    </row>
    <row r="15" spans="1:8" ht="15">
      <c r="A15" s="20" t="str">
        <f>Previsions_12M!A15</f>
        <v>Décembre</v>
      </c>
      <c r="B15" s="20">
        <f>Previsions_12M!E15</f>
        <v>1064</v>
      </c>
      <c r="C15" s="20">
        <f>Previsions_12M!G15</f>
        <v>160</v>
      </c>
      <c r="D15" s="21">
        <f>Previsions_12M!I15</f>
        <v>958.40000000000009</v>
      </c>
      <c r="E15" s="21">
        <f>Previsions_12M!M15</f>
        <v>51548.869345778367</v>
      </c>
      <c r="F15" s="21">
        <f>Previsions_12M!N15</f>
        <v>170.84687025018832</v>
      </c>
      <c r="G15" s="21">
        <f>Previsions_12M!S15</f>
        <v>510.59887025018833</v>
      </c>
      <c r="H15" s="21">
        <f>Previsions_12M!T15</f>
        <v>447.80112974981176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2"/>
  <sheetViews>
    <sheetView tabSelected="1" topLeftCell="A27" workbookViewId="0">
      <selection activeCell="H22" sqref="H22"/>
    </sheetView>
  </sheetViews>
  <sheetFormatPr baseColWidth="10" defaultColWidth="9" defaultRowHeight="14.25"/>
  <cols>
    <col min="1" max="2" width="14" customWidth="1"/>
    <col min="3" max="3" width="4" customWidth="1"/>
    <col min="4" max="5" width="14" customWidth="1"/>
    <col min="6" max="6" width="4" customWidth="1"/>
    <col min="7" max="8" width="14" customWidth="1"/>
    <col min="9" max="9" width="4" customWidth="1"/>
    <col min="10" max="11" width="16" customWidth="1"/>
    <col min="12" max="12" width="12" customWidth="1"/>
  </cols>
  <sheetData>
    <row r="1" spans="1:12" ht="20.25">
      <c r="A1" s="8" t="s">
        <v>141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>
      <c r="A2" s="9" t="s">
        <v>142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ht="15">
      <c r="A4" s="10" t="s">
        <v>143</v>
      </c>
      <c r="B4" s="10"/>
      <c r="D4" s="10" t="s">
        <v>144</v>
      </c>
      <c r="E4" s="10"/>
      <c r="G4" s="10" t="s">
        <v>145</v>
      </c>
      <c r="H4" s="10"/>
      <c r="J4" s="10" t="s">
        <v>146</v>
      </c>
      <c r="K4" s="10"/>
    </row>
    <row r="5" spans="1:12">
      <c r="A5" s="11">
        <f>Previsions_12M!E15</f>
        <v>1064</v>
      </c>
      <c r="B5" s="11"/>
      <c r="D5" s="11">
        <f>Previsions_12M!G15</f>
        <v>160</v>
      </c>
      <c r="E5" s="11"/>
      <c r="G5" s="12">
        <f>Previsions_12M!I15</f>
        <v>958.40000000000009</v>
      </c>
      <c r="H5" s="12"/>
      <c r="J5" s="12">
        <f>Previsions_12M!I17</f>
        <v>6079.85</v>
      </c>
      <c r="K5" s="12"/>
    </row>
    <row r="6" spans="1:12">
      <c r="A6" s="11"/>
      <c r="B6" s="11"/>
      <c r="D6" s="11"/>
      <c r="E6" s="11"/>
      <c r="G6" s="12"/>
      <c r="H6" s="12"/>
      <c r="J6" s="12"/>
      <c r="K6" s="12"/>
    </row>
    <row r="8" spans="1:12" ht="15">
      <c r="A8" s="13" t="s">
        <v>147</v>
      </c>
      <c r="B8" s="13"/>
      <c r="D8" s="13" t="s">
        <v>148</v>
      </c>
      <c r="E8" s="13"/>
      <c r="G8" s="13" t="s">
        <v>128</v>
      </c>
      <c r="H8" s="13"/>
      <c r="J8" s="13" t="s">
        <v>132</v>
      </c>
      <c r="K8" s="13"/>
    </row>
    <row r="9" spans="1:12">
      <c r="A9" s="12">
        <f>Previsions_12M!M17</f>
        <v>294068.06816845218</v>
      </c>
      <c r="B9" s="12"/>
      <c r="D9" s="12">
        <f>Previsions_12M!L15</f>
        <v>48.448185475355608</v>
      </c>
      <c r="E9" s="12"/>
      <c r="G9" s="14">
        <f>Economie_Unitaire!C11</f>
        <v>46.167890549136608</v>
      </c>
      <c r="H9" s="14"/>
      <c r="J9" s="14">
        <f>Economie_Unitaire!C12</f>
        <v>0.36100126014915696</v>
      </c>
      <c r="K9" s="14"/>
    </row>
    <row r="10" spans="1:12">
      <c r="A10" s="12"/>
      <c r="B10" s="12"/>
      <c r="D10" s="12"/>
      <c r="E10" s="12"/>
      <c r="G10" s="14"/>
      <c r="H10" s="14"/>
      <c r="J10" s="14"/>
      <c r="K10" s="14"/>
    </row>
    <row r="12" spans="1:12">
      <c r="A12" s="15" t="s">
        <v>149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20" spans="1:8" ht="31.5">
      <c r="A20" s="1" t="s">
        <v>64</v>
      </c>
      <c r="B20" s="1" t="s">
        <v>150</v>
      </c>
      <c r="D20" s="1" t="s">
        <v>64</v>
      </c>
      <c r="E20" s="1" t="s">
        <v>72</v>
      </c>
      <c r="G20" s="1" t="s">
        <v>64</v>
      </c>
      <c r="H20" s="1" t="s">
        <v>139</v>
      </c>
    </row>
    <row r="21" spans="1:8" ht="15">
      <c r="A21" s="20" t="str">
        <f>Import_Dashboard!A4</f>
        <v>Janvier</v>
      </c>
      <c r="B21" s="20">
        <f>Import_Dashboard!B4</f>
        <v>173</v>
      </c>
      <c r="C21" s="19"/>
      <c r="D21" s="20" t="str">
        <f>Import_Dashboard!A4</f>
        <v>Janvier</v>
      </c>
      <c r="E21" s="21">
        <f>Import_Dashboard!D4</f>
        <v>155.74</v>
      </c>
      <c r="F21" s="19"/>
      <c r="G21" s="20" t="str">
        <f>Import_Dashboard!A4</f>
        <v>Janvier</v>
      </c>
      <c r="H21" s="21">
        <f>Import_Dashboard!E4</f>
        <v>6055</v>
      </c>
    </row>
    <row r="22" spans="1:8" ht="15">
      <c r="A22" s="20" t="str">
        <f>Import_Dashboard!A5</f>
        <v>Février</v>
      </c>
      <c r="B22" s="20">
        <f>Import_Dashboard!B5</f>
        <v>229</v>
      </c>
      <c r="C22" s="19"/>
      <c r="D22" s="20" t="str">
        <f>Import_Dashboard!A5</f>
        <v>Février</v>
      </c>
      <c r="E22" s="21">
        <f>Import_Dashboard!D5</f>
        <v>203.66</v>
      </c>
      <c r="F22" s="19"/>
      <c r="G22" s="20" t="str">
        <f>Import_Dashboard!A5</f>
        <v>Février</v>
      </c>
      <c r="H22" s="21">
        <f>Import_Dashboard!E5</f>
        <v>8255.4500000000007</v>
      </c>
    </row>
    <row r="23" spans="1:8" ht="15">
      <c r="A23" s="20" t="str">
        <f>Import_Dashboard!A6</f>
        <v>Mars</v>
      </c>
      <c r="B23" s="20">
        <f>Import_Dashboard!B6</f>
        <v>288</v>
      </c>
      <c r="C23" s="19"/>
      <c r="D23" s="20" t="str">
        <f>Import_Dashboard!A6</f>
        <v>Mars</v>
      </c>
      <c r="E23" s="21">
        <f>Import_Dashboard!D6</f>
        <v>257.57</v>
      </c>
      <c r="F23" s="19"/>
      <c r="G23" s="20" t="str">
        <f>Import_Dashboard!A6</f>
        <v>Mars</v>
      </c>
      <c r="H23" s="21">
        <f>Import_Dashboard!E6</f>
        <v>10693.872000000001</v>
      </c>
    </row>
    <row r="24" spans="1:8" ht="15">
      <c r="A24" s="20" t="str">
        <f>Import_Dashboard!A7</f>
        <v>Avril</v>
      </c>
      <c r="B24" s="20">
        <f>Import_Dashboard!B7</f>
        <v>351</v>
      </c>
      <c r="C24" s="19"/>
      <c r="D24" s="20" t="str">
        <f>Import_Dashboard!A7</f>
        <v>Avril</v>
      </c>
      <c r="E24" s="21">
        <f>Import_Dashboard!D7</f>
        <v>317.47000000000003</v>
      </c>
      <c r="F24" s="19"/>
      <c r="G24" s="20" t="str">
        <f>Import_Dashboard!A7</f>
        <v>Avril</v>
      </c>
      <c r="H24" s="21">
        <f>Import_Dashboard!E7</f>
        <v>13424.151195000002</v>
      </c>
    </row>
    <row r="25" spans="1:8" ht="15">
      <c r="A25" s="20" t="str">
        <f>Import_Dashboard!A8</f>
        <v>Mai</v>
      </c>
      <c r="B25" s="20">
        <f>Import_Dashboard!B8</f>
        <v>418</v>
      </c>
      <c r="C25" s="19"/>
      <c r="D25" s="20" t="str">
        <f>Import_Dashboard!A8</f>
        <v>Mai</v>
      </c>
      <c r="E25" s="21">
        <f>Import_Dashboard!D8</f>
        <v>377.37</v>
      </c>
      <c r="F25" s="19"/>
      <c r="G25" s="20" t="str">
        <f>Import_Dashboard!A8</f>
        <v>Mai</v>
      </c>
      <c r="H25" s="21">
        <f>Import_Dashboard!E8</f>
        <v>16466.193890300001</v>
      </c>
    </row>
    <row r="26" spans="1:8" ht="15">
      <c r="A26" s="20" t="str">
        <f>Import_Dashboard!A9</f>
        <v>Juin</v>
      </c>
      <c r="B26" s="20">
        <f>Import_Dashboard!B9</f>
        <v>490</v>
      </c>
      <c r="C26" s="19"/>
      <c r="D26" s="20" t="str">
        <f>Import_Dashboard!A9</f>
        <v>Juin</v>
      </c>
      <c r="E26" s="21">
        <f>Import_Dashboard!D9</f>
        <v>443.26</v>
      </c>
      <c r="F26" s="19"/>
      <c r="G26" s="20" t="str">
        <f>Import_Dashboard!A9</f>
        <v>Juin</v>
      </c>
      <c r="H26" s="21">
        <f>Import_Dashboard!E9</f>
        <v>19881.550374245002</v>
      </c>
    </row>
    <row r="27" spans="1:8" ht="15">
      <c r="A27" s="20" t="str">
        <f>Import_Dashboard!A10</f>
        <v>Juillet</v>
      </c>
      <c r="B27" s="20">
        <f>Import_Dashboard!B10</f>
        <v>568</v>
      </c>
      <c r="C27" s="19"/>
      <c r="D27" s="20" t="str">
        <f>Import_Dashboard!A10</f>
        <v>Juillet</v>
      </c>
      <c r="E27" s="21">
        <f>Import_Dashboard!D10</f>
        <v>509.15000000000003</v>
      </c>
      <c r="F27" s="19"/>
      <c r="G27" s="20" t="str">
        <f>Import_Dashboard!A10</f>
        <v>Juillet</v>
      </c>
      <c r="H27" s="21">
        <f>Import_Dashboard!E10</f>
        <v>23737.759654996524</v>
      </c>
    </row>
    <row r="28" spans="1:8" ht="15">
      <c r="A28" s="20" t="str">
        <f>Import_Dashboard!A11</f>
        <v>Août</v>
      </c>
      <c r="B28" s="20">
        <f>Import_Dashboard!B11</f>
        <v>652</v>
      </c>
      <c r="C28" s="19"/>
      <c r="D28" s="20" t="str">
        <f>Import_Dashboard!A11</f>
        <v>Août</v>
      </c>
      <c r="E28" s="21">
        <f>Import_Dashboard!D11</f>
        <v>587.02</v>
      </c>
      <c r="F28" s="19"/>
      <c r="G28" s="20" t="str">
        <f>Import_Dashboard!A11</f>
        <v>Août</v>
      </c>
      <c r="H28" s="21">
        <f>Import_Dashboard!E11</f>
        <v>28065.72160899554</v>
      </c>
    </row>
    <row r="29" spans="1:8" ht="15">
      <c r="A29" s="20" t="str">
        <f>Import_Dashboard!A12</f>
        <v>Septembre</v>
      </c>
      <c r="B29" s="20">
        <f>Import_Dashboard!B12</f>
        <v>743</v>
      </c>
      <c r="C29" s="19"/>
      <c r="D29" s="20" t="str">
        <f>Import_Dashboard!A12</f>
        <v>Septembre</v>
      </c>
      <c r="E29" s="21">
        <f>Import_Dashboard!D12</f>
        <v>664.89</v>
      </c>
      <c r="F29" s="19"/>
      <c r="G29" s="20" t="str">
        <f>Import_Dashboard!A12</f>
        <v>Septembre</v>
      </c>
      <c r="H29" s="21">
        <f>Import_Dashboard!E12</f>
        <v>32942.355966484967</v>
      </c>
    </row>
    <row r="30" spans="1:8" ht="15">
      <c r="A30" s="20" t="str">
        <f>Import_Dashboard!A13</f>
        <v>Octobre</v>
      </c>
      <c r="B30" s="20">
        <f>Import_Dashboard!B13</f>
        <v>841</v>
      </c>
      <c r="C30" s="19"/>
      <c r="D30" s="20" t="str">
        <f>Import_Dashboard!A13</f>
        <v>Octobre</v>
      </c>
      <c r="E30" s="21">
        <f>Import_Dashboard!D13</f>
        <v>754.74</v>
      </c>
      <c r="F30" s="19"/>
      <c r="G30" s="20" t="str">
        <f>Import_Dashboard!A13</f>
        <v>Octobre</v>
      </c>
      <c r="H30" s="21">
        <f>Import_Dashboard!E13</f>
        <v>38405.998666013824</v>
      </c>
    </row>
    <row r="31" spans="1:8" ht="15">
      <c r="A31" s="20" t="str">
        <f>Import_Dashboard!A14</f>
        <v>Novembre</v>
      </c>
      <c r="B31" s="20">
        <f>Import_Dashboard!B14</f>
        <v>948</v>
      </c>
      <c r="C31" s="19"/>
      <c r="D31" s="20" t="str">
        <f>Import_Dashboard!A14</f>
        <v>Novembre</v>
      </c>
      <c r="E31" s="21">
        <f>Import_Dashboard!D14</f>
        <v>850.58</v>
      </c>
      <c r="F31" s="19"/>
      <c r="G31" s="20" t="str">
        <f>Import_Dashboard!A14</f>
        <v>Novembre</v>
      </c>
      <c r="H31" s="21">
        <f>Import_Dashboard!E14</f>
        <v>44591.14546663798</v>
      </c>
    </row>
    <row r="32" spans="1:8" ht="15">
      <c r="A32" s="20" t="str">
        <f>Import_Dashboard!A15</f>
        <v>Décembre</v>
      </c>
      <c r="B32" s="20">
        <f>Import_Dashboard!B15</f>
        <v>1064</v>
      </c>
      <c r="C32" s="19"/>
      <c r="D32" s="20" t="str">
        <f>Import_Dashboard!A15</f>
        <v>Décembre</v>
      </c>
      <c r="E32" s="21">
        <f>Import_Dashboard!D15</f>
        <v>958.40000000000009</v>
      </c>
      <c r="F32" s="19"/>
      <c r="G32" s="20" t="str">
        <f>Import_Dashboard!A15</f>
        <v>Décembre</v>
      </c>
      <c r="H32" s="21">
        <f>Import_Dashboard!E15</f>
        <v>51548.869345778367</v>
      </c>
    </row>
  </sheetData>
  <mergeCells count="19">
    <mergeCell ref="J8:K8"/>
    <mergeCell ref="J9:K10"/>
    <mergeCell ref="A12:L14"/>
    <mergeCell ref="A8:B8"/>
    <mergeCell ref="A9:B10"/>
    <mergeCell ref="D8:E8"/>
    <mergeCell ref="D9:E10"/>
    <mergeCell ref="G8:H8"/>
    <mergeCell ref="G9:H10"/>
    <mergeCell ref="A1:L1"/>
    <mergeCell ref="A2:L2"/>
    <mergeCell ref="A4:B4"/>
    <mergeCell ref="A5:B6"/>
    <mergeCell ref="D4:E4"/>
    <mergeCell ref="D5:E6"/>
    <mergeCell ref="G4:H4"/>
    <mergeCell ref="G5:H6"/>
    <mergeCell ref="J4:K4"/>
    <mergeCell ref="J5:K6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513b79f-ce8d-43d6-b7e5-c12d3e236916}" enabled="1" method="Standard" siteId="{ad8a84ef-f1f3-4b14-ad08-b99ca66f7e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Mode_emploi</vt:lpstr>
      <vt:lpstr>Hypotheses</vt:lpstr>
      <vt:lpstr>Previsions_12M</vt:lpstr>
      <vt:lpstr>Economie_Unitaire</vt:lpstr>
      <vt:lpstr>Import_Dashboard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Moncef Fahd Kherouatou</cp:lastModifiedBy>
  <dcterms:modified xsi:type="dcterms:W3CDTF">2026-04-21T03:42:53Z</dcterms:modified>
</cp:coreProperties>
</file>